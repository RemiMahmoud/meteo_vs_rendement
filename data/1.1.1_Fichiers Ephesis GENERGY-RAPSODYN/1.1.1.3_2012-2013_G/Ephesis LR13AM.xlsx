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300" windowWidth="19200" windowHeight="7890" tabRatio="903" firstSheet="5" activeTab="16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Data!$A$1:$CM$1</definedName>
    <definedName name="_xlnm._FilterDatabase" localSheetId="5" hidden="1">PlantMaterial!$A$1:$E$42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25" i="15" l="1"/>
  <c r="R34" i="15" l="1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AE32" i="16"/>
  <c r="AE33" i="16" s="1"/>
  <c r="O4" i="15" l="1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" i="15"/>
  <c r="L11" i="15" l="1"/>
  <c r="T11" i="15" s="1"/>
  <c r="Y11" i="15" s="1"/>
  <c r="L13" i="15"/>
  <c r="T13" i="15" s="1"/>
  <c r="Y13" i="15" s="1"/>
  <c r="L14" i="15"/>
  <c r="T14" i="15" s="1"/>
  <c r="Y14" i="15" s="1"/>
  <c r="L34" i="15"/>
  <c r="T34" i="15" s="1"/>
  <c r="Y34" i="15" s="1"/>
  <c r="L9" i="15"/>
  <c r="T9" i="15" s="1"/>
  <c r="Y9" i="15" s="1"/>
  <c r="L19" i="15"/>
  <c r="T19" i="15" s="1"/>
  <c r="Y19" i="15" s="1"/>
  <c r="L10" i="15"/>
  <c r="T10" i="15" s="1"/>
  <c r="Y10" i="15" s="1"/>
  <c r="L24" i="15"/>
  <c r="T24" i="15" s="1"/>
  <c r="Y24" i="15" s="1"/>
  <c r="L25" i="15"/>
  <c r="T25" i="15" s="1"/>
  <c r="L18" i="15"/>
  <c r="T18" i="15" s="1"/>
  <c r="Y18" i="15" s="1"/>
  <c r="L26" i="15"/>
  <c r="T26" i="15" s="1"/>
  <c r="Y26" i="15" s="1"/>
  <c r="L33" i="15"/>
  <c r="T33" i="15" s="1"/>
  <c r="Y33" i="15" s="1"/>
  <c r="L17" i="15"/>
  <c r="T17" i="15" s="1"/>
  <c r="Y17" i="15" s="1"/>
  <c r="L32" i="15"/>
  <c r="T32" i="15" s="1"/>
  <c r="Y32" i="15" s="1"/>
  <c r="L8" i="15"/>
  <c r="T8" i="15" s="1"/>
  <c r="Y8" i="15" s="1"/>
  <c r="L23" i="15"/>
  <c r="T23" i="15" s="1"/>
  <c r="Y23" i="15" s="1"/>
  <c r="L7" i="15"/>
  <c r="T7" i="15" s="1"/>
  <c r="Y7" i="15" s="1"/>
  <c r="L22" i="15"/>
  <c r="T22" i="15" s="1"/>
  <c r="Y22" i="15" s="1"/>
  <c r="L5" i="15"/>
  <c r="T5" i="15" s="1"/>
  <c r="Y5" i="15" s="1"/>
  <c r="L27" i="15"/>
  <c r="T27" i="15" s="1"/>
  <c r="Y27" i="15" s="1"/>
  <c r="L20" i="15"/>
  <c r="T20" i="15" s="1"/>
  <c r="Y20" i="15" s="1"/>
  <c r="L30" i="15"/>
  <c r="T30" i="15" s="1"/>
  <c r="Y30" i="15" s="1"/>
  <c r="L6" i="15"/>
  <c r="T6" i="15" s="1"/>
  <c r="Y6" i="15" s="1"/>
  <c r="L21" i="15"/>
  <c r="T21" i="15" s="1"/>
  <c r="Y21" i="15" s="1"/>
  <c r="L29" i="15"/>
  <c r="T29" i="15" s="1"/>
  <c r="Y29" i="15" s="1"/>
  <c r="L12" i="15"/>
  <c r="T12" i="15" s="1"/>
  <c r="Y12" i="15" s="1"/>
  <c r="L4" i="15"/>
  <c r="T4" i="15" s="1"/>
  <c r="Y4" i="15" s="1"/>
  <c r="L3" i="15"/>
  <c r="T3" i="15" s="1"/>
  <c r="Y3" i="15" s="1"/>
  <c r="L28" i="15"/>
  <c r="T28" i="15" s="1"/>
  <c r="Y28" i="15" s="1"/>
  <c r="L31" i="15"/>
  <c r="T31" i="15" s="1"/>
  <c r="Y31" i="15" s="1"/>
  <c r="L16" i="15"/>
  <c r="T16" i="15" s="1"/>
  <c r="Y16" i="15" s="1"/>
  <c r="L15" i="15"/>
  <c r="T15" i="15" s="1"/>
  <c r="Y15" i="15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<sst xmlns="http://schemas.openxmlformats.org/spreadsheetml/2006/main" count="12141" uniqueCount="8034">
  <si>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</si>
  <si>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</si>
  <si>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</si>
  <si>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</si>
  <si>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</si>
  <si>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</si>
  <si>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</si>
  <si>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</si>
  <si>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</si>
  <si>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</si>
  <si>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</si>
  <si>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</si>
  <si>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</si>
  <si>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</si>
  <si>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</si>
  <si>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</si>
  <si>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</si>
  <si>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</si>
  <si>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</si>
  <si>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</si>
  <si>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</si>
  <si>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</si>
  <si>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</si>
  <si>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</si>
  <si>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</si>
  <si>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</si>
  <si>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</si>
  <si>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</si>
  <si>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</si>
  <si>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</si>
  <si>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</si>
  <si>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</si>
  <si>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</si>
  <si>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</si>
  <si>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</si>
  <si>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</si>
  <si>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</si>
  <si>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</si>
  <si>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</si>
  <si>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</si>
  <si>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</si>
  <si>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</si>
  <si>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</si>
  <si>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</si>
  <si>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</si>
  <si>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</si>
  <si>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</si>
  <si>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</si>
  <si>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</si>
  <si>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</si>
  <si>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</si>
  <si>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</si>
  <si>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</si>
  <si>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</si>
  <si>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</si>
  <si>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</si>
  <si>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</si>
  <si>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</si>
  <si>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</si>
  <si>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</si>
  <si>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</si>
  <si>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</si>
  <si>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</si>
  <si>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</si>
  <si>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</si>
  <si>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</si>
  <si>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</si>
  <si>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</si>
  <si>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</si>
  <si>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</si>
  <si>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</si>
  <si>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</si>
  <si>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</si>
  <si>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</si>
  <si>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</si>
  <si>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</si>
  <si>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</si>
  <si>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</si>
  <si>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</si>
  <si>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</si>
  <si>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</si>
  <si>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</si>
  <si>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</si>
  <si>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</si>
  <si>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</si>
  <si>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</si>
  <si>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</si>
  <si>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</si>
  <si>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</si>
  <si>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</si>
  <si>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</si>
  <si>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</si>
  <si>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</si>
  <si>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</si>
  <si>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</si>
  <si>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</si>
  <si>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</si>
  <si>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</si>
  <si>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</si>
  <si>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</si>
  <si>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</si>
  <si>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</si>
  <si>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</si>
  <si>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</si>
  <si>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</si>
  <si>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</si>
  <si>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</si>
  <si>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</si>
  <si>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</si>
  <si>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</si>
  <si>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</si>
  <si>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</si>
  <si>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</si>
  <si>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</si>
  <si>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</si>
  <si>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</si>
  <si>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</si>
  <si>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</si>
  <si>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</si>
  <si>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</si>
  <si>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</si>
  <si>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</si>
  <si>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</si>
  <si>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</si>
  <si>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</si>
  <si>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</si>
  <si>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</si>
  <si>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</si>
  <si>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</si>
  <si>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</si>
  <si>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</si>
  <si>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</si>
  <si>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</si>
  <si>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</si>
  <si>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</si>
  <si>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</si>
  <si>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</si>
  <si>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</si>
  <si>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</si>
  <si>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</si>
  <si>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</si>
  <si>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</si>
  <si>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</si>
  <si>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</si>
  <si>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</si>
  <si>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</si>
  <si>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</si>
  <si>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</si>
  <si>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</si>
  <si>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</si>
  <si>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</si>
  <si>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</si>
  <si>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</si>
  <si>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</si>
  <si>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</si>
  <si>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</si>
  <si>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</si>
  <si>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</si>
  <si>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</si>
  <si>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</si>
  <si>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</si>
  <si>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</si>
  <si>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</si>
  <si>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</si>
  <si>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</si>
  <si>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</si>
  <si>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</si>
  <si>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</si>
  <si>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</si>
  <si>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</si>
  <si>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</si>
  <si>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</si>
  <si>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</si>
  <si>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</si>
  <si>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</si>
  <si>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</si>
  <si>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</si>
  <si>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</si>
  <si>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</si>
  <si>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</si>
  <si>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</si>
  <si>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</si>
  <si>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</si>
  <si>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</si>
  <si>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</si>
  <si>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</si>
  <si>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</si>
  <si>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</si>
  <si>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</si>
  <si>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</si>
  <si>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</si>
  <si>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</si>
  <si>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</si>
  <si>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</si>
  <si>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</si>
  <si>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</si>
  <si>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</si>
  <si>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</si>
  <si>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</si>
  <si>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</si>
  <si>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</si>
  <si>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</si>
  <si>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</si>
  <si>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</si>
  <si>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</si>
  <si>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</si>
  <si>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</si>
  <si>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</si>
  <si>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</si>
  <si>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</si>
  <si>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</si>
  <si>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</si>
  <si>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</si>
  <si>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</si>
  <si>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</si>
  <si>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</si>
  <si>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</si>
  <si>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</si>
  <si>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</si>
  <si>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</si>
  <si>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</si>
  <si>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</si>
  <si>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</si>
  <si>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</si>
  <si>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</si>
  <si>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</si>
  <si>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</si>
  <si>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</si>
  <si>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</si>
  <si>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</si>
  <si>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</si>
  <si>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</si>
  <si>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</si>
  <si>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</si>
  <si>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</si>
  <si>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</si>
  <si>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</si>
  <si>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</si>
  <si>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</si>
  <si>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</si>
  <si>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</si>
  <si>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</si>
  <si>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</si>
  <si>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</si>
  <si>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</si>
  <si>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</si>
  <si>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</si>
  <si>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</si>
  <si>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</si>
  <si>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</si>
  <si>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</si>
  <si>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</si>
  <si>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</si>
  <si>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</si>
  <si>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</si>
  <si>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</si>
  <si>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</si>
  <si>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</si>
  <si>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</si>
  <si>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</si>
  <si>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</si>
  <si>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</si>
  <si>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</si>
  <si>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</si>
  <si>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</si>
  <si>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</si>
  <si>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</si>
  <si>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</si>
  <si>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</si>
  <si>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</si>
  <si>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</si>
  <si>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</si>
  <si>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</si>
  <si>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</si>
  <si>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</si>
  <si>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</si>
  <si>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</si>
  <si>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</si>
  <si>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</si>
  <si>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</si>
  <si>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</si>
  <si>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</si>
  <si>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</si>
  <si>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</si>
  <si>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</si>
  <si>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</si>
  <si>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</si>
  <si>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</si>
  <si>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</si>
  <si>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</si>
  <si>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</si>
  <si>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</si>
  <si>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</si>
  <si>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</si>
  <si>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</si>
  <si>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</si>
  <si>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</si>
  <si>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</si>
  <si>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</si>
  <si>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</si>
  <si>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</si>
  <si>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</si>
  <si>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</si>
  <si>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</si>
  <si>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</si>
  <si>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</si>
  <si>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</si>
  <si>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</si>
  <si>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</si>
  <si>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</si>
  <si>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</si>
  <si>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</si>
  <si>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</si>
  <si>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</si>
  <si>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</si>
  <si>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</si>
  <si>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</si>
  <si>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</si>
  <si>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</si>
  <si>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</si>
  <si>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</si>
  <si>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</si>
  <si>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</si>
  <si>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</si>
  <si>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</si>
  <si>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</si>
  <si>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</si>
  <si>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</si>
  <si>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</si>
  <si>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</si>
  <si>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</si>
  <si>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</si>
  <si>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</si>
  <si>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</si>
  <si>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</si>
  <si>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</si>
  <si>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</si>
  <si>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</si>
  <si>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</si>
  <si>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</si>
  <si>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</si>
  <si>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</si>
  <si>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</si>
  <si>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</si>
  <si>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</si>
  <si>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</si>
  <si>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</si>
  <si>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</si>
  <si>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</si>
  <si>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</si>
  <si>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</si>
  <si>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</si>
  <si>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</si>
  <si>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</si>
  <si>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</si>
  <si>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</si>
  <si>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</si>
  <si>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</si>
  <si>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</si>
  <si>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</si>
  <si>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</si>
  <si>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</si>
  <si>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</si>
  <si>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</si>
  <si>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</si>
  <si>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</si>
  <si>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</si>
  <si>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</si>
  <si>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</si>
  <si>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</si>
  <si>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</si>
  <si>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</si>
  <si>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</si>
  <si>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</si>
  <si>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</si>
  <si>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</si>
  <si>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</si>
  <si>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</si>
  <si>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</si>
  <si>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</si>
  <si>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</si>
  <si>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</si>
  <si>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</si>
  <si>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</si>
  <si>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</si>
  <si>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</si>
  <si>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</si>
  <si>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</si>
  <si>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</si>
  <si>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</si>
  <si>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</si>
  <si>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</si>
  <si>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</si>
  <si>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</si>
  <si>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</si>
  <si>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</si>
  <si>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</si>
  <si>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</si>
  <si>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</si>
  <si>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</si>
  <si>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</si>
  <si>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</si>
  <si>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</si>
  <si>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</si>
  <si>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</si>
  <si>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</si>
  <si>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</si>
  <si>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</si>
  <si>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</si>
  <si>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</si>
  <si>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</si>
  <si>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</si>
  <si>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</si>
  <si>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</si>
  <si>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</si>
  <si>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</si>
  <si>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</si>
  <si>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</si>
  <si>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</si>
  <si>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</si>
  <si>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</si>
  <si>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</si>
  <si>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</si>
  <si>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</si>
  <si>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</si>
  <si>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</si>
  <si>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</si>
  <si>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</si>
  <si>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</si>
  <si>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</si>
  <si>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</si>
  <si>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</si>
  <si>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</si>
  <si>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</si>
  <si>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</si>
  <si>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</si>
  <si>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</si>
  <si>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</si>
  <si>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</si>
  <si>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</si>
  <si>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</si>
  <si>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</si>
  <si>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</si>
  <si>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</si>
  <si>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</si>
  <si>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</si>
  <si>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</si>
  <si>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</si>
  <si>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</si>
  <si>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</si>
  <si>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</si>
  <si>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</si>
  <si>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</si>
  <si>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</si>
  <si>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</si>
  <si>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</si>
  <si>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</si>
  <si>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</si>
  <si>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</si>
  <si>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</si>
  <si>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</si>
  <si>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</si>
  <si>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</si>
  <si>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</si>
  <si>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</si>
  <si>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</si>
  <si>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</si>
  <si>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</si>
  <si>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</si>
  <si>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</si>
  <si>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</si>
  <si>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</si>
  <si>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</si>
  <si>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</si>
  <si>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</si>
  <si>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</si>
  <si>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</si>
  <si>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</si>
  <si>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</si>
  <si>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</si>
  <si>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</si>
  <si>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</si>
  <si>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</si>
  <si>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</si>
  <si>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</si>
  <si>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</si>
  <si>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</si>
  <si>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</si>
  <si>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</si>
  <si>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</si>
  <si>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</si>
  <si>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</si>
  <si>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</si>
  <si>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</si>
  <si>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</si>
  <si>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</si>
  <si>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</si>
  <si>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</si>
  <si>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</si>
  <si>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</si>
  <si>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</si>
  <si>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</si>
  <si>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</si>
  <si>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</si>
  <si>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</si>
  <si>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</si>
  <si>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</si>
  <si>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</si>
  <si>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</si>
  <si>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</si>
  <si>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</si>
  <si>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</si>
  <si>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</si>
  <si>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</si>
  <si>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</si>
  <si>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</si>
  <si>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</si>
  <si>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</si>
  <si>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</si>
  <si>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</si>
  <si>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</si>
  <si>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</si>
  <si>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</si>
  <si>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</si>
  <si>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</si>
  <si>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</si>
  <si>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</si>
  <si>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</si>
  <si>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</si>
  <si>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</si>
  <si>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</si>
  <si>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</si>
  <si>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</si>
  <si>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</si>
  <si>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</si>
  <si>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</si>
  <si>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</si>
  <si>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</si>
  <si>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</si>
  <si>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</si>
  <si>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</si>
  <si>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</si>
  <si>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</si>
  <si>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</si>
  <si>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</si>
  <si>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</si>
  <si>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</si>
  <si>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</si>
  <si>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</si>
  <si>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</si>
  <si>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</si>
  <si>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</si>
  <si>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</si>
  <si>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</si>
  <si>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</si>
  <si>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</si>
  <si>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</si>
  <si>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</si>
  <si>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</si>
  <si>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</si>
  <si>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</si>
  <si>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</si>
  <si>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</si>
  <si>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</si>
  <si>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</si>
  <si>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</si>
  <si>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</si>
  <si>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</si>
  <si>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</si>
  <si>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</si>
  <si>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</si>
  <si>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</si>
  <si>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</si>
  <si>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</si>
  <si>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</si>
  <si>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</si>
  <si>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</si>
  <si>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</si>
  <si>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</si>
  <si>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</si>
  <si>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</si>
  <si>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</si>
  <si>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</si>
  <si>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</si>
  <si>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</si>
  <si>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</si>
  <si>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</si>
  <si>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</si>
  <si>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</si>
  <si>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</si>
  <si>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</si>
  <si>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</si>
  <si>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</si>
  <si>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</si>
  <si>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</si>
  <si>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</si>
  <si>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</si>
  <si>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</si>
  <si>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</si>
  <si>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</si>
  <si>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</si>
  <si>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</si>
  <si>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</si>
  <si>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</si>
  <si>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</si>
  <si>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</si>
  <si>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</si>
  <si>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</si>
  <si>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</si>
  <si>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</si>
  <si>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</si>
  <si>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</si>
  <si>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</si>
  <si>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</si>
  <si>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</si>
  <si>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</si>
  <si>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</si>
  <si>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</si>
  <si>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</si>
  <si>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</si>
  <si>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</si>
  <si>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</si>
  <si>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</si>
  <si>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</si>
  <si>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</si>
  <si>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</si>
  <si>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</si>
  <si>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</si>
  <si>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</si>
  <si>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</si>
  <si>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</si>
  <si>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</si>
  <si>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</si>
  <si>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</si>
  <si>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</si>
  <si>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</si>
  <si>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</si>
  <si>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</si>
  <si>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</si>
  <si>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</si>
  <si>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</si>
  <si>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</si>
  <si>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</si>
  <si>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</si>
  <si>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</si>
  <si>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</si>
  <si>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</si>
  <si>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</si>
  <si>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</si>
  <si>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</si>
  <si>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</si>
  <si>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</si>
  <si>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</si>
  <si>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</si>
  <si>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</si>
  <si>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</si>
  <si>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</si>
  <si>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</si>
  <si>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</si>
  <si>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</si>
  <si>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</si>
  <si>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</si>
  <si>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</si>
  <si>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</si>
  <si>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</si>
  <si>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</si>
  <si>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</si>
  <si>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</si>
  <si>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</si>
  <si>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</si>
  <si>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</si>
  <si>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</si>
  <si>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</si>
  <si>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</si>
  <si>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</si>
  <si>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</si>
  <si>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</si>
  <si>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</si>
  <si>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</si>
  <si>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</si>
  <si>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</si>
  <si>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</si>
  <si>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</si>
  <si>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</si>
  <si>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</si>
  <si>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</si>
  <si>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</si>
  <si>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</si>
  <si>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</si>
  <si>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</si>
  <si>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</si>
  <si>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</si>
  <si>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</si>
  <si>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</si>
  <si>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</si>
  <si>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</si>
  <si>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</si>
  <si>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</si>
  <si>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</si>
  <si>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</si>
  <si>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</si>
  <si>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</si>
  <si>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</si>
  <si>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</si>
  <si>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</si>
  <si>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</si>
  <si>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</si>
  <si>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</si>
  <si>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</si>
  <si>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</si>
  <si>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</si>
  <si>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</si>
  <si>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</si>
  <si>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</si>
  <si>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</si>
  <si>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</si>
  <si>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</si>
  <si>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</si>
  <si>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</si>
  <si>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</si>
  <si>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</si>
  <si>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</si>
  <si>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</si>
  <si>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</si>
  <si>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</si>
  <si>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</si>
  <si>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</si>
  <si>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</si>
  <si>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</si>
  <si>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</si>
  <si>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</si>
  <si>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</si>
  <si>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</si>
  <si>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</si>
  <si>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</si>
  <si>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</si>
  <si>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</si>
  <si>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</si>
  <si>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</si>
  <si>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</si>
  <si>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</si>
  <si>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</si>
  <si>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</si>
  <si>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</si>
  <si>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</si>
  <si>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</si>
  <si>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</si>
  <si>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</si>
  <si>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</si>
  <si>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</si>
  <si>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</si>
  <si>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</si>
  <si>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</si>
  <si>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</si>
  <si>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</si>
  <si>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</si>
  <si>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</si>
  <si>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</si>
  <si>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</si>
  <si>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</si>
  <si>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</si>
  <si>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</si>
  <si>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</si>
  <si>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</si>
  <si>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</si>
  <si>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</si>
  <si>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</si>
  <si>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</si>
  <si>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</si>
  <si>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</si>
  <si>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</si>
  <si>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</si>
  <si>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</si>
  <si>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</si>
  <si>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</si>
  <si>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</si>
  <si>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</si>
  <si>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</si>
  <si>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</si>
  <si>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</si>
  <si>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</si>
  <si>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</si>
  <si>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</si>
  <si>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</si>
  <si>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</si>
  <si>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</si>
  <si>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</si>
  <si>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</si>
  <si>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</si>
  <si>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</si>
  <si>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</si>
  <si>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</si>
  <si>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</si>
  <si>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</si>
  <si>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</si>
  <si>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</si>
  <si>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</si>
  <si>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</si>
  <si>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</si>
  <si>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</si>
  <si>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</si>
  <si>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</si>
  <si>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</si>
  <si>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</si>
  <si>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</si>
  <si>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</si>
  <si>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</si>
  <si>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</si>
  <si>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</si>
  <si>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</si>
  <si>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</si>
  <si>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</si>
  <si>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</si>
  <si>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</si>
  <si>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</si>
  <si>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</si>
  <si>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</si>
  <si>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</si>
  <si>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</si>
  <si>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</si>
  <si>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</si>
  <si>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</si>
  <si>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</si>
  <si>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</si>
  <si>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</si>
  <si>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</si>
  <si>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</si>
  <si>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</si>
  <si>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</si>
  <si>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</si>
  <si>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</si>
  <si>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</si>
  <si>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</si>
  <si>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</si>
  <si>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</si>
  <si>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</si>
  <si>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</si>
  <si>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</si>
  <si>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</si>
  <si>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</si>
  <si>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</si>
  <si>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</si>
  <si>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</si>
  <si>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</si>
  <si>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</si>
  <si>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</si>
  <si>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</si>
  <si>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</si>
  <si>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</si>
  <si>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</si>
  <si>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</si>
  <si>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</si>
  <si>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</si>
  <si>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</si>
  <si>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</si>
  <si>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</si>
  <si>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</si>
  <si>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</si>
  <si>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</si>
  <si>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</si>
  <si>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</si>
  <si>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</si>
  <si>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</si>
  <si>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</si>
  <si>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</si>
  <si>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</si>
  <si>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</si>
  <si>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</si>
  <si>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</si>
  <si>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</si>
  <si>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</si>
  <si>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</si>
  <si>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</si>
  <si>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</si>
  <si>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</si>
  <si>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</si>
  <si>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</si>
  <si>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</si>
  <si>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</si>
  <si>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</si>
  <si>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</si>
  <si>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</si>
  <si>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</si>
  <si>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</si>
  <si>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</si>
  <si>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</si>
  <si>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</si>
  <si>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</si>
  <si>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</si>
  <si>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</si>
  <si>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</si>
  <si>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</si>
  <si>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</si>
  <si>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</si>
  <si>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</si>
  <si>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</si>
  <si>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</si>
  <si>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</si>
  <si>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</si>
  <si>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</si>
  <si>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</si>
  <si>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</si>
  <si>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</si>
  <si>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</si>
  <si>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</si>
  <si>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</si>
  <si>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</si>
  <si>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</si>
  <si>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</si>
  <si>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</si>
  <si>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</si>
  <si>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</si>
  <si>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</si>
  <si>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</si>
  <si>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</si>
  <si>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</si>
  <si>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</si>
  <si>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</si>
  <si>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</si>
  <si>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</si>
  <si>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</si>
  <si>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</si>
  <si>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</si>
  <si>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</si>
  <si>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</si>
  <si>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</si>
  <si>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</si>
  <si>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</si>
  <si>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</si>
  <si>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</si>
  <si>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</si>
  <si>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</si>
  <si>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</si>
  <si>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</si>
  <si>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</si>
  <si>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</si>
  <si>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</si>
  <si>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</si>
  <si>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</si>
  <si>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</si>
  <si>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</si>
  <si>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</si>
  <si>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</si>
  <si>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</si>
  <si>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</si>
  <si>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</si>
  <si>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</si>
  <si>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</si>
  <si>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</si>
  <si>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</si>
  <si>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</si>
  <si>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</si>
  <si>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</si>
  <si>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</si>
  <si>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</si>
  <si>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</si>
  <si>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</si>
  <si>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</si>
  <si>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</si>
  <si>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</si>
  <si>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</si>
  <si>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</si>
  <si>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</si>
  <si>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</si>
  <si>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</si>
  <si>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</si>
  <si>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</si>
  <si>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</si>
  <si>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</si>
  <si>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</si>
  <si>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</si>
  <si>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</si>
  <si>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</si>
  <si>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</si>
  <si>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</si>
  <si>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</si>
  <si>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</si>
  <si>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</si>
  <si>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</si>
  <si>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</si>
  <si>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</si>
  <si>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</si>
  <si>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</si>
  <si>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</si>
  <si>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</si>
  <si>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</si>
  <si>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</si>
  <si>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</si>
  <si>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</si>
  <si>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</si>
  <si>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</si>
  <si>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</si>
  <si>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</si>
  <si>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</si>
  <si>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</si>
  <si>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</si>
  <si>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</si>
  <si>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</si>
  <si>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</si>
  <si>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</si>
  <si>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</si>
  <si>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</si>
  <si>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</si>
  <si>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</si>
  <si>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</si>
  <si>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</si>
  <si>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</si>
  <si>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</si>
  <si>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</si>
  <si>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</si>
  <si>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</si>
  <si>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</si>
  <si>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</si>
  <si>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</si>
  <si>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</si>
  <si>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</si>
  <si>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</si>
  <si>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</si>
  <si>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</si>
  <si>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</si>
  <si>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</si>
  <si>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</si>
  <si>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</si>
  <si>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</si>
  <si>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</si>
  <si>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</si>
  <si>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</si>
  <si>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</si>
  <si>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</si>
  <si>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</si>
  <si>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</si>
  <si>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</si>
  <si>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</si>
  <si>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</si>
  <si>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</si>
  <si>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</si>
  <si>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</si>
  <si>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</si>
  <si>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</si>
  <si>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</si>
  <si>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</si>
  <si>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</si>
  <si>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</si>
  <si>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</si>
  <si>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</si>
  <si>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</si>
  <si>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</si>
  <si>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</si>
  <si>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</si>
  <si>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</si>
  <si>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</si>
  <si>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</si>
  <si>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</si>
  <si>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</si>
  <si>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</si>
  <si>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</si>
  <si>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</si>
  <si>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</si>
  <si>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</si>
  <si>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</si>
  <si>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</si>
  <si>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</si>
  <si>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</si>
  <si>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</si>
  <si>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</si>
  <si>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</si>
  <si>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</si>
  <si>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</si>
  <si>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</si>
  <si>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</si>
  <si>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</si>
  <si>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</si>
  <si>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</si>
  <si>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</si>
  <si>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</si>
  <si>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</si>
  <si>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</si>
  <si>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</si>
  <si>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</si>
  <si>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</si>
  <si>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</si>
  <si>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</si>
  <si>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</si>
  <si>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</si>
  <si>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</si>
  <si>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</si>
  <si>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</si>
  <si>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</si>
  <si>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</si>
  <si>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</si>
  <si>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</si>
  <si>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</si>
  <si>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</si>
  <si>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</si>
  <si>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</si>
  <si>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</si>
  <si>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</si>
  <si>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</si>
  <si>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</si>
  <si>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</si>
  <si>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</si>
  <si>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</si>
  <si>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</si>
  <si>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</si>
  <si>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</si>
  <si>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</si>
  <si>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</si>
  <si>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</si>
  <si>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</si>
  <si>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</si>
  <si>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</si>
  <si>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</si>
  <si>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</si>
  <si>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</si>
  <si>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</si>
  <si>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</si>
  <si>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</si>
  <si>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</si>
  <si>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</si>
  <si>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</si>
  <si>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</si>
  <si>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</si>
  <si>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</si>
  <si>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</si>
  <si>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</si>
  <si>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</si>
  <si>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</si>
  <si>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</si>
  <si>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</si>
  <si>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</si>
  <si>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</si>
  <si>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</si>
  <si>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</si>
  <si>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</si>
  <si>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</si>
  <si>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</si>
  <si>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</si>
  <si>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</si>
  <si>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</si>
  <si>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</si>
  <si>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</si>
  <si>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</si>
  <si>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</si>
  <si>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</si>
  <si>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</si>
  <si>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</si>
  <si>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</si>
  <si>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</si>
  <si>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</si>
  <si>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</si>
  <si>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</si>
  <si>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</si>
  <si>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</si>
  <si>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</si>
  <si>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</si>
  <si>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</si>
  <si>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</si>
  <si>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</si>
  <si>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</si>
  <si>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</si>
  <si>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</si>
  <si>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</si>
  <si>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</si>
  <si>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</si>
  <si>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</si>
  <si>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</si>
  <si>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</si>
  <si>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</si>
  <si>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</si>
  <si>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</si>
  <si>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</si>
  <si>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</si>
  <si>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</si>
  <si>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</si>
  <si>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</si>
  <si>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</si>
  <si>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</si>
  <si>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</si>
  <si>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</si>
  <si>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</si>
  <si>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</si>
  <si>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</si>
  <si>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</si>
  <si>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</si>
  <si>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</si>
  <si>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</si>
  <si>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</si>
  <si>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</si>
  <si>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</si>
  <si>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</si>
  <si>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</si>
  <si>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</si>
  <si>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</si>
  <si>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</si>
  <si>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</si>
  <si>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</si>
  <si>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</si>
  <si>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</si>
  <si>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</si>
  <si>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</si>
  <si>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</si>
  <si>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</si>
  <si>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</si>
  <si>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</si>
  <si>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</si>
  <si>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</si>
  <si>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</si>
  <si>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</si>
  <si>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</si>
  <si>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</si>
  <si>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</si>
  <si>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</si>
  <si>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</si>
  <si>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</si>
  <si>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</si>
  <si>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</si>
  <si>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</si>
  <si>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</si>
  <si>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</si>
  <si>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</si>
  <si>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</si>
  <si>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</si>
  <si>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</si>
  <si>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</si>
  <si>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</si>
  <si>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</si>
  <si>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</si>
  <si>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</si>
  <si>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</si>
  <si>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</si>
  <si>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</si>
  <si>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</si>
  <si>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</si>
  <si>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</si>
  <si>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</si>
  <si>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</si>
  <si>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</si>
  <si>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</si>
  <si>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</si>
  <si>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</si>
  <si>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</si>
  <si>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</si>
  <si>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</si>
  <si>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</si>
  <si>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</si>
  <si>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</si>
  <si>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</si>
  <si>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</si>
  <si>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</si>
  <si>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</si>
  <si>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</si>
  <si>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</si>
  <si>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</si>
  <si>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</si>
  <si>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</si>
  <si>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</si>
  <si>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</si>
  <si>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</si>
  <si>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</si>
  <si>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</si>
  <si>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</si>
  <si>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</si>
  <si>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</si>
  <si>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</si>
  <si>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</si>
  <si>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</si>
  <si>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</si>
  <si>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</si>
  <si>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</si>
  <si>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</si>
  <si>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</si>
  <si>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</si>
  <si>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</si>
  <si>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</si>
  <si>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</si>
  <si>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</si>
  <si>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</si>
  <si>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</si>
  <si>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</si>
  <si>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</si>
  <si>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</si>
  <si>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</si>
  <si>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</si>
  <si>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</si>
  <si>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</si>
  <si>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</si>
  <si>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</si>
  <si>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</si>
  <si>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</si>
  <si>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</si>
  <si>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</si>
  <si>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</si>
  <si>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</si>
  <si>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</si>
  <si>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</si>
  <si>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</si>
  <si>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</si>
  <si>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</si>
  <si>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</si>
  <si>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</si>
  <si>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</si>
  <si>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</si>
  <si>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</si>
  <si>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</si>
  <si>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</si>
  <si>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</si>
  <si>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</si>
  <si>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</si>
  <si>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</si>
  <si>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</si>
  <si>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</si>
  <si>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</si>
  <si>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</si>
  <si>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</si>
  <si>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</si>
  <si>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</si>
  <si>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</si>
  <si>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</si>
  <si>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</si>
  <si>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</si>
  <si>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</si>
  <si>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</si>
  <si>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</si>
  <si>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</si>
  <si>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</si>
  <si>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</si>
  <si>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</si>
  <si>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</si>
  <si>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</si>
  <si>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</si>
  <si>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</si>
  <si>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</si>
  <si>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</si>
  <si>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</si>
  <si>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</si>
  <si>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</si>
  <si>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</si>
  <si>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</si>
  <si>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</si>
  <si>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</si>
  <si>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</si>
  <si>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</si>
  <si>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</si>
  <si>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</si>
  <si>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</si>
  <si>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</si>
  <si>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</si>
  <si>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</si>
  <si>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</si>
  <si>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</si>
  <si>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</si>
  <si>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</si>
  <si>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</si>
  <si>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</si>
  <si>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</si>
  <si>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</si>
  <si>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</si>
  <si>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</si>
  <si>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</si>
  <si>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</si>
  <si>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</si>
  <si>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</si>
  <si>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</si>
  <si>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</si>
  <si>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</si>
  <si>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</si>
  <si>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</si>
  <si>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</si>
  <si>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</si>
  <si>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</si>
  <si>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</si>
  <si>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</si>
  <si>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</si>
  <si>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</si>
  <si>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</si>
  <si>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</si>
  <si>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</si>
  <si>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</si>
  <si>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</si>
  <si>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</si>
  <si>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</si>
  <si>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</si>
  <si>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</si>
  <si>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</si>
  <si>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</si>
  <si>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</si>
  <si>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</si>
  <si>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</si>
  <si>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</si>
  <si>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</si>
  <si>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</si>
  <si>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</si>
  <si>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</si>
  <si>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</si>
  <si>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</si>
  <si>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</si>
  <si>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</si>
  <si>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</si>
  <si>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</si>
  <si>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</si>
  <si>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</si>
  <si>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</si>
  <si>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</si>
  <si>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</si>
  <si>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</si>
  <si>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</si>
  <si>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</si>
  <si>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</si>
  <si>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</si>
  <si>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</si>
  <si>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</si>
  <si>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</si>
  <si>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</si>
  <si>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</si>
  <si>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</si>
  <si>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</si>
  <si>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</si>
  <si>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</si>
  <si>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</si>
  <si>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</si>
  <si>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</si>
  <si>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</si>
  <si>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</si>
  <si>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</si>
  <si>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</si>
  <si>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</si>
  <si>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</si>
  <si>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</si>
  <si>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</si>
  <si>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</si>
  <si>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</si>
  <si>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</si>
  <si>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</si>
  <si>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</si>
  <si>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</si>
  <si>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</si>
  <si>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</si>
  <si>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</si>
  <si>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</si>
  <si>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</si>
  <si>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</si>
  <si>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</si>
  <si>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</si>
  <si>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</si>
  <si>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</si>
  <si>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</si>
  <si>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</si>
  <si>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</si>
  <si>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</si>
  <si>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</si>
  <si>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</si>
  <si>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</si>
  <si>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</si>
  <si>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</si>
  <si>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</si>
  <si>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</si>
  <si>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</si>
  <si>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</si>
  <si>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</si>
  <si>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</si>
  <si>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</si>
  <si>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</si>
  <si>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</si>
  <si>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</si>
  <si>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</si>
  <si>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</si>
  <si>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</si>
  <si>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</si>
  <si>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</si>
  <si>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</si>
  <si>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</si>
  <si>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</si>
  <si>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</si>
  <si>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</si>
  <si>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</si>
  <si>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</si>
  <si>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</si>
  <si>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</si>
  <si>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</si>
  <si>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</si>
  <si>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</si>
  <si>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</si>
  <si>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</si>
  <si>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</si>
  <si>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</si>
  <si>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</si>
  <si>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</si>
  <si>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</si>
  <si>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</si>
  <si>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</si>
  <si>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</si>
  <si>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</si>
  <si>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</si>
  <si>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</si>
  <si>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</si>
  <si>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</si>
  <si>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</si>
  <si>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</si>
  <si>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</si>
  <si>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</si>
  <si>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</si>
  <si>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</si>
  <si>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</si>
  <si>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</si>
  <si>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</si>
  <si>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</si>
  <si>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</si>
  <si>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</si>
  <si>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</si>
  <si>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</si>
  <si>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</si>
  <si>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</si>
  <si>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</si>
  <si>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</si>
  <si>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</si>
  <si>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</si>
  <si>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</si>
  <si>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</si>
  <si>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</si>
  <si>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</si>
  <si>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</si>
  <si>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</si>
  <si>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</si>
  <si>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</si>
  <si>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</si>
  <si>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</si>
  <si>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</si>
  <si>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</si>
  <si>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</si>
  <si>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</si>
  <si>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</si>
  <si>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</si>
  <si>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</si>
  <si>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</si>
  <si>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</si>
  <si>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</si>
  <si>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</si>
  <si>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</si>
  <si>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</si>
  <si>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</si>
  <si>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</si>
  <si>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</si>
  <si>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</si>
  <si>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</si>
  <si>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</si>
  <si>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</si>
  <si>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</si>
  <si>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</si>
  <si>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</si>
  <si>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</si>
  <si>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</si>
  <si>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</si>
  <si>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</si>
  <si>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</si>
  <si>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</si>
  <si>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</si>
  <si>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</si>
  <si>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</si>
  <si>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</si>
  <si>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</si>
  <si>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</si>
  <si>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</si>
  <si>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</si>
  <si>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</si>
  <si>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</si>
  <si>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</si>
  <si>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</si>
  <si>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</si>
  <si>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</si>
  <si>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</si>
  <si>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</si>
  <si>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</si>
  <si>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</si>
  <si>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</si>
  <si>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</si>
  <si>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</si>
  <si>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</si>
  <si>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</si>
  <si>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</si>
  <si>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</si>
  <si>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</si>
  <si>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</si>
  <si>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</si>
  <si>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</si>
  <si>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</si>
  <si>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</si>
  <si>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</si>
  <si>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</si>
  <si>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</si>
  <si>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</si>
  <si>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</si>
  <si>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</si>
  <si>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</si>
  <si>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</si>
  <si>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</si>
  <si>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</si>
  <si>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</si>
  <si>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</si>
  <si>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</si>
  <si>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</si>
  <si>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</si>
  <si>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</si>
  <si>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</si>
  <si>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</si>
  <si>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</si>
  <si>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</si>
  <si>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</si>
  <si>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</si>
  <si>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</si>
  <si>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</si>
  <si>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</si>
  <si>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</si>
  <si>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</si>
  <si>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</si>
  <si>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</si>
  <si>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</si>
  <si>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</si>
  <si>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</si>
  <si>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</si>
  <si>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</si>
  <si>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</si>
  <si>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</si>
  <si>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</si>
  <si>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</si>
  <si>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</si>
  <si>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</si>
  <si>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</si>
  <si>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</si>
  <si>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</si>
  <si>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</si>
  <si>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</si>
  <si>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</si>
  <si>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</si>
  <si>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</si>
  <si>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</si>
  <si>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</si>
  <si>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</si>
  <si>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</si>
  <si>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</si>
  <si>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</si>
  <si>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</si>
  <si>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</si>
  <si>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</si>
  <si>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</si>
  <si>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</si>
  <si>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</si>
  <si>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</si>
  <si>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</si>
  <si>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</si>
  <si>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</si>
  <si>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</si>
  <si>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</si>
  <si>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</si>
  <si>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</si>
  <si>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</si>
  <si>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</si>
  <si>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</si>
  <si>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</si>
  <si>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</si>
  <si>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</si>
  <si>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</si>
  <si>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</si>
  <si>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</si>
  <si>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</si>
  <si>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</si>
  <si>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</si>
  <si>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</si>
  <si>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</si>
  <si>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</si>
  <si>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</si>
  <si>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</si>
  <si>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</si>
  <si>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</si>
  <si>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</si>
  <si>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</si>
  <si>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</si>
  <si>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</si>
  <si>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</si>
  <si>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</si>
  <si>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</si>
  <si>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</si>
  <si>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</si>
  <si>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</si>
  <si>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</si>
  <si>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</si>
  <si>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</si>
  <si>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</si>
  <si>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</si>
  <si>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</si>
  <si>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</si>
  <si>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</si>
  <si>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</si>
  <si>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</si>
  <si>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</si>
  <si>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</si>
  <si>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</si>
  <si>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</si>
  <si>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</si>
  <si>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</si>
  <si>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</si>
  <si>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</si>
  <si>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</si>
  <si>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</si>
  <si>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</si>
  <si>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</si>
  <si>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</si>
  <si>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</si>
  <si>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</si>
  <si>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</si>
  <si>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</si>
  <si>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</si>
  <si>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</si>
  <si>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</si>
  <si>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</si>
  <si>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</si>
  <si>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</si>
  <si>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</si>
  <si>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</si>
  <si>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</si>
  <si>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</si>
  <si>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</si>
  <si>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</si>
  <si>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</si>
  <si>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</si>
  <si>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</si>
  <si>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</si>
  <si>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</si>
  <si>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</si>
  <si>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</si>
  <si>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</si>
  <si>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</si>
  <si>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</si>
  <si>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</si>
  <si>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</si>
  <si>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</si>
  <si>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</si>
  <si>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</si>
  <si>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</si>
  <si>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</si>
  <si>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</si>
  <si>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</si>
  <si>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</si>
  <si>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</si>
  <si>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</si>
  <si>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</si>
  <si>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</si>
  <si>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</si>
  <si>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</si>
  <si>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</si>
  <si>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</si>
  <si>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</si>
  <si>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</si>
  <si>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</si>
  <si>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</si>
  <si>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</si>
  <si>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</si>
  <si>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</si>
  <si>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</si>
  <si>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</si>
  <si>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</si>
  <si>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</si>
  <si>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</si>
  <si>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</si>
  <si>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</si>
  <si>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</si>
  <si>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</si>
  <si>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</si>
  <si>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</si>
  <si>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</si>
  <si>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</si>
  <si>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</si>
  <si>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</si>
  <si>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</si>
  <si>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</si>
  <si>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</si>
  <si>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</si>
  <si>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</si>
  <si>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</si>
  <si>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</si>
  <si>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</si>
  <si>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</si>
  <si>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</si>
  <si>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</si>
  <si>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</si>
  <si>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</si>
  <si>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</si>
  <si>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</si>
  <si>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</si>
  <si>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</si>
  <si>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</si>
  <si>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</si>
  <si>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</si>
  <si>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</si>
  <si>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</si>
  <si>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</si>
  <si>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</si>
  <si>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</si>
  <si>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</si>
  <si>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</si>
  <si>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</si>
  <si>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</si>
  <si>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</si>
  <si>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</si>
  <si>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</si>
  <si>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</si>
  <si>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</si>
  <si>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</si>
  <si>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</si>
  <si>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</si>
  <si>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</si>
  <si>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</si>
  <si>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</si>
  <si>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</si>
  <si>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</si>
  <si>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</si>
  <si>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</si>
  <si>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</si>
  <si>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</si>
  <si>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</si>
  <si>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</si>
  <si>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</si>
  <si>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</si>
  <si>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</si>
  <si>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</si>
  <si>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</si>
  <si>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</si>
  <si>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</si>
  <si>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</si>
  <si>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</si>
  <si>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</si>
  <si>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</si>
  <si>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</si>
  <si>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</si>
  <si>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</si>
  <si>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</si>
  <si>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</si>
  <si>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</si>
  <si>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</si>
  <si>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</si>
  <si>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</si>
  <si>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</si>
  <si>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</si>
  <si>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</si>
  <si>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</si>
  <si>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</si>
  <si>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</si>
  <si>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</si>
  <si>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</si>
  <si>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</si>
  <si>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</si>
  <si>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</si>
  <si>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</si>
  <si>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</si>
  <si>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</si>
  <si>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</si>
  <si>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</si>
  <si>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</si>
  <si>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</si>
  <si>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</si>
  <si>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</si>
  <si>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</si>
  <si>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</si>
  <si>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</si>
  <si>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</si>
  <si>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</si>
  <si>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</si>
  <si>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</si>
  <si>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</si>
  <si>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</si>
  <si>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</si>
  <si>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</si>
  <si>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</si>
  <si>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</si>
  <si>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</si>
  <si>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</si>
  <si>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</si>
  <si>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</si>
  <si>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</si>
  <si>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</si>
  <si>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</si>
  <si>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</si>
  <si>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</si>
  <si>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</si>
  <si>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</si>
  <si>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</si>
  <si>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</si>
  <si>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</si>
  <si>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</si>
  <si>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</si>
  <si>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</si>
  <si>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</si>
  <si>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</si>
  <si>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</si>
  <si>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</si>
  <si>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</si>
  <si>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</si>
  <si>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</si>
  <si>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</si>
  <si>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</si>
  <si>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</si>
  <si>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</si>
  <si>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</si>
  <si>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</si>
  <si>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</si>
  <si>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</si>
  <si>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</si>
  <si>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</si>
  <si>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</si>
  <si>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</si>
  <si>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</si>
  <si>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</si>
  <si>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</si>
  <si>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</si>
  <si>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</si>
  <si>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</si>
  <si>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</si>
  <si>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</si>
  <si>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</si>
  <si>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</si>
  <si>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</si>
  <si>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</si>
  <si>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</si>
  <si>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</si>
  <si>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</si>
  <si>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</si>
  <si>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</si>
  <si>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</si>
  <si>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</si>
  <si>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</si>
  <si>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</si>
  <si>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</si>
  <si>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</si>
  <si>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</si>
  <si>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</si>
  <si>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</si>
  <si>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</si>
  <si>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</si>
  <si>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</si>
  <si>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</si>
  <si>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</si>
  <si>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</si>
  <si>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</si>
  <si>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</si>
  <si>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</si>
  <si>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</si>
  <si>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</si>
  <si>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</si>
  <si>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</si>
  <si>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</si>
  <si>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</si>
  <si>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</si>
  <si>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</si>
  <si>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</si>
  <si>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</si>
  <si>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</si>
  <si>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</si>
  <si>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</si>
  <si>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</si>
  <si>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</si>
  <si>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</si>
  <si>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</si>
  <si>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</si>
  <si>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</si>
  <si>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</si>
  <si>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</si>
  <si>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</si>
  <si>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</si>
  <si>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</si>
  <si>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</si>
  <si>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</si>
  <si>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</si>
  <si>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</si>
  <si>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</si>
  <si>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</si>
  <si>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</si>
  <si>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</si>
  <si>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</si>
  <si>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</si>
  <si>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</si>
  <si>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</si>
  <si>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</si>
  <si>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</si>
  <si>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</si>
  <si>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</si>
  <si>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</si>
  <si>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</si>
  <si>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</si>
  <si>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</si>
  <si>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</si>
  <si>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</si>
  <si>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</si>
  <si>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</si>
  <si>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</si>
  <si>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</si>
  <si>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</si>
  <si>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</si>
  <si>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</si>
  <si>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</si>
  <si>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</si>
  <si>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</si>
  <si>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</si>
  <si>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</si>
  <si>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</si>
  <si>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</si>
  <si>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</si>
  <si>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</si>
  <si>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</si>
  <si>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</si>
  <si>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</si>
  <si>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</si>
  <si>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</si>
  <si>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</si>
  <si>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</si>
  <si>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</si>
  <si>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</si>
  <si>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</si>
  <si>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</si>
  <si>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</si>
  <si>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</si>
  <si>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</si>
  <si>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</si>
  <si>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</si>
  <si>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</si>
  <si>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</si>
  <si>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</si>
  <si>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</si>
  <si>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</si>
  <si>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</si>
  <si>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</si>
  <si>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</si>
  <si>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</si>
  <si>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</si>
  <si>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</si>
  <si>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</si>
  <si>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</si>
  <si>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</si>
  <si>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</si>
  <si>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</si>
  <si>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</si>
  <si>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</si>
  <si>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</si>
  <si>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</si>
  <si>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</si>
  <si>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</si>
  <si>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</si>
  <si>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</si>
  <si>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</si>
  <si>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</si>
  <si>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</si>
  <si>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</si>
  <si>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</si>
  <si>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</si>
  <si>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</si>
  <si>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</si>
  <si>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</si>
  <si>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</si>
  <si>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</si>
  <si>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</si>
  <si>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</si>
  <si>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</si>
  <si>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</si>
  <si>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</si>
  <si>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</si>
  <si>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</si>
  <si>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</si>
  <si>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</si>
  <si>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</si>
  <si>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</si>
  <si>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</si>
  <si>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</si>
  <si>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</si>
  <si>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</si>
  <si>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</si>
  <si>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</si>
  <si>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</si>
  <si>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</si>
  <si>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</si>
  <si>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</si>
  <si>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</si>
  <si>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</si>
  <si>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</si>
  <si>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</si>
  <si>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</si>
  <si>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</si>
  <si>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</si>
  <si>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</si>
  <si>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</si>
  <si>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</si>
  <si>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</si>
  <si>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</si>
  <si>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</si>
  <si>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</si>
  <si>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</si>
  <si>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</si>
  <si>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</si>
  <si>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</si>
  <si>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</si>
  <si>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</si>
  <si>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</si>
  <si>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</si>
  <si>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</si>
  <si>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</si>
  <si>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</si>
  <si>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</si>
  <si>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</si>
  <si>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</si>
  <si>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</si>
  <si>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</si>
  <si>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</si>
  <si>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</si>
  <si>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</si>
  <si>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</si>
  <si>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</si>
  <si>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</si>
  <si>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</si>
  <si>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</si>
  <si>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</si>
  <si>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</si>
  <si>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</si>
  <si>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</si>
  <si>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</si>
  <si>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</si>
  <si>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</si>
  <si>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</si>
  <si>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</si>
  <si>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</si>
  <si>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</si>
  <si>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</si>
  <si>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</si>
  <si>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</si>
  <si>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</si>
  <si>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</si>
  <si>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</si>
  <si>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</si>
  <si>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</si>
  <si>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</si>
  <si>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</si>
  <si>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</si>
  <si>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</si>
  <si>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</si>
  <si>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</si>
  <si>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</si>
  <si>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</si>
  <si>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</si>
  <si>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</si>
  <si>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</si>
  <si>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</si>
  <si>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</si>
  <si>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</si>
  <si>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</si>
  <si>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</si>
  <si>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</si>
  <si>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</si>
  <si>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</si>
  <si>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</si>
  <si>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</si>
  <si>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</si>
  <si>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</si>
  <si>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</si>
  <si>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</si>
  <si>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</si>
  <si>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</si>
  <si>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</si>
  <si>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</si>
  <si>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</si>
  <si>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</si>
  <si>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</si>
  <si>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</si>
  <si>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</si>
  <si>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</si>
  <si>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</si>
  <si>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</si>
  <si>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</si>
  <si>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</si>
  <si>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</si>
  <si>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</si>
  <si>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</si>
  <si>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</si>
  <si>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</si>
  <si>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</si>
  <si>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</si>
  <si>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</si>
  <si>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</si>
  <si>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</si>
  <si>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</si>
  <si>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</si>
  <si>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</si>
  <si>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</si>
  <si>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</si>
  <si>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</si>
  <si>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</si>
  <si>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</si>
  <si>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</si>
  <si>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</si>
  <si>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</si>
  <si>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</si>
  <si>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</si>
  <si>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</si>
  <si>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</si>
  <si>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</si>
  <si>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</si>
  <si>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</si>
  <si>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</si>
  <si>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</si>
  <si>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</si>
  <si>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</si>
  <si>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</si>
  <si>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</si>
  <si>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</si>
  <si>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</si>
  <si>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</si>
  <si>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</si>
  <si>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</si>
  <si>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</si>
  <si>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</si>
  <si>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</si>
  <si>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</si>
  <si>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</si>
  <si>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</si>
  <si>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</si>
  <si>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</si>
  <si>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</si>
  <si>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</si>
  <si>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</si>
  <si>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</si>
  <si>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</si>
  <si>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</si>
  <si>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</si>
  <si>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</si>
  <si>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</si>
  <si>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</si>
  <si>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</si>
  <si>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</si>
  <si>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</si>
  <si>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</si>
  <si>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</si>
  <si>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</si>
  <si>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</si>
  <si>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</si>
  <si>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</si>
  <si>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</si>
  <si>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</si>
  <si>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</si>
  <si>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</si>
  <si>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</si>
  <si>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</si>
  <si>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</si>
  <si>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</si>
  <si>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</si>
  <si>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</si>
  <si>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</si>
  <si>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</si>
  <si>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</si>
  <si>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</si>
  <si>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</si>
  <si>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</si>
  <si>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</si>
  <si>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</si>
  <si>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</si>
  <si>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</si>
  <si>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</si>
  <si>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</si>
  <si>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</si>
  <si>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</si>
  <si>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</si>
  <si>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</si>
  <si>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</si>
  <si>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</si>
  <si>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</si>
  <si>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</si>
  <si>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</si>
  <si>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</si>
  <si>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</si>
  <si>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</si>
  <si>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</si>
  <si>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</si>
  <si>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</si>
  <si>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</si>
  <si>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</si>
  <si>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</si>
  <si>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</si>
  <si>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</si>
  <si>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</si>
  <si>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</si>
  <si>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</si>
  <si>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</si>
  <si>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</si>
  <si>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</si>
  <si>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</si>
  <si>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</si>
  <si>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</si>
  <si>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</si>
  <si>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</si>
  <si>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</si>
  <si>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</si>
  <si>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</si>
  <si>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</si>
  <si>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</si>
  <si>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</si>
  <si>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</si>
  <si>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</si>
  <si>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</si>
  <si>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</si>
  <si>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</si>
  <si>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</si>
  <si>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</si>
  <si>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</si>
  <si>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</si>
  <si>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</si>
  <si>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</si>
  <si>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</si>
  <si>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</si>
  <si>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</si>
  <si>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</si>
  <si>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</si>
  <si>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</si>
  <si>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</si>
  <si>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</si>
  <si>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</si>
  <si>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</si>
  <si>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</si>
  <si>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</si>
  <si>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</si>
  <si>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</si>
  <si>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</si>
  <si>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</si>
  <si>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</si>
  <si>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</si>
  <si>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</si>
  <si>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</si>
  <si>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</si>
  <si>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</si>
  <si>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</si>
  <si>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</si>
  <si>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</si>
  <si>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</si>
  <si>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</si>
  <si>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</si>
  <si>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</si>
  <si>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</si>
  <si>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</si>
  <si>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</si>
  <si>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</si>
  <si>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</si>
  <si>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</si>
  <si>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</si>
  <si>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</si>
  <si>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</si>
  <si>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</si>
  <si>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</si>
  <si>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</si>
  <si>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</si>
  <si>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</si>
  <si>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</si>
  <si>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</si>
  <si>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</si>
  <si>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</si>
  <si>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</si>
  <si>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</si>
  <si>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</si>
  <si>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</si>
  <si>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</si>
  <si>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</si>
  <si>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</si>
  <si>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</si>
  <si>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</si>
  <si>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</si>
  <si>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</si>
  <si>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</si>
  <si>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</si>
  <si>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</si>
  <si>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</si>
  <si>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</si>
  <si>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</si>
  <si>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</si>
  <si>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</si>
  <si>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</si>
  <si>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</si>
  <si>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</si>
  <si>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</si>
  <si>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</si>
  <si>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</si>
  <si>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</si>
  <si>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</si>
  <si>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</si>
  <si>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</si>
  <si>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</si>
  <si>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</si>
  <si>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</si>
  <si>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</si>
  <si>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</si>
  <si>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</si>
  <si>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</si>
  <si>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</si>
  <si>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</si>
  <si>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</si>
  <si>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</si>
  <si>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</si>
  <si>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</si>
  <si>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</si>
  <si>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</si>
  <si>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</si>
  <si>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</si>
  <si>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</si>
  <si>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</si>
  <si>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</si>
  <si>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</si>
  <si>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</si>
  <si>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</si>
  <si>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</si>
  <si>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</si>
  <si>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</si>
  <si>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</si>
  <si>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</si>
  <si>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</si>
  <si>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</si>
  <si>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</si>
  <si>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</si>
  <si>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</si>
  <si>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</si>
  <si>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</si>
  <si>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</si>
  <si>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</si>
  <si>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</si>
  <si>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</si>
  <si>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</si>
  <si>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</si>
  <si>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</si>
  <si>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</si>
  <si>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</si>
  <si>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</si>
  <si>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</si>
  <si>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</si>
  <si>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</si>
  <si>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</si>
  <si>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</si>
  <si>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</si>
  <si>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</si>
  <si>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</si>
  <si>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</si>
  <si>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</si>
  <si>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</si>
  <si>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</si>
  <si>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</si>
  <si>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</si>
  <si>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</si>
  <si>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</si>
  <si>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</si>
  <si>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</si>
  <si>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</si>
  <si>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</si>
  <si>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</si>
  <si>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</si>
  <si>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</si>
  <si>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</si>
  <si>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</si>
  <si>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</si>
  <si>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</si>
  <si>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</si>
  <si>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</si>
  <si>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</si>
  <si>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</si>
  <si>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</si>
  <si>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</si>
  <si>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</si>
  <si>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</si>
  <si>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</si>
  <si>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</si>
  <si>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</si>
  <si>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</si>
  <si>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</si>
  <si>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</si>
  <si>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</si>
  <si>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</si>
  <si>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</si>
  <si>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</si>
  <si>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</si>
  <si>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</si>
  <si>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</si>
  <si>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</si>
  <si>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</si>
  <si>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</si>
  <si>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</si>
  <si>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</si>
  <si>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</si>
  <si>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</si>
  <si>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</si>
  <si>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</si>
  <si>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</si>
  <si>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</si>
  <si>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</si>
  <si>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</si>
  <si>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</si>
  <si>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</si>
  <si>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</si>
  <si>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</si>
  <si>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</si>
  <si>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</si>
  <si>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</si>
  <si>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</si>
  <si>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</si>
  <si>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</si>
  <si>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</si>
  <si>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</si>
  <si>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</si>
  <si>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</si>
  <si>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</si>
  <si>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</si>
  <si>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</si>
  <si>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</si>
  <si>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</si>
  <si>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</si>
  <si>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</si>
  <si>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</si>
  <si>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</si>
  <si>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</si>
  <si>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</si>
  <si>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</si>
  <si>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</si>
  <si>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</si>
  <si>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</si>
  <si>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</si>
  <si>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</si>
  <si>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</si>
  <si>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</si>
  <si>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</si>
  <si>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</si>
  <si>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</si>
  <si>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</si>
  <si>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</si>
  <si>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</si>
  <si>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</si>
  <si>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</si>
  <si>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</si>
  <si>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</si>
  <si>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</si>
  <si>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</si>
  <si>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</si>
  <si>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</si>
  <si>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</si>
  <si>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</si>
  <si>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</si>
  <si>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</si>
  <si>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</si>
  <si>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</si>
  <si>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</si>
  <si>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</si>
  <si>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</si>
  <si>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</si>
  <si>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</si>
  <si>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</si>
  <si>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</si>
  <si>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</si>
  <si>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</si>
  <si>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</si>
  <si>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</si>
  <si>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</si>
  <si>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</si>
  <si>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</si>
  <si>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</si>
  <si>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</si>
  <si>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</si>
  <si>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</si>
  <si>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</si>
  <si>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</si>
  <si>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</si>
  <si>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</si>
  <si>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</si>
  <si>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</si>
  <si>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</si>
  <si>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</si>
  <si>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</si>
  <si>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</si>
  <si>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</si>
  <si>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</si>
  <si>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</si>
  <si>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</si>
  <si>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</si>
  <si>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</si>
  <si>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</si>
  <si>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</si>
  <si>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</si>
  <si>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</si>
  <si>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</si>
  <si>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</si>
  <si>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</si>
  <si>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</si>
  <si>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</si>
  <si>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</si>
  <si>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</si>
  <si>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</si>
  <si>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</si>
  <si>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</si>
  <si>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</si>
  <si>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</si>
  <si>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</si>
  <si>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</si>
  <si>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</si>
  <si>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</si>
  <si>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</si>
  <si>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</si>
  <si>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</si>
  <si>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</si>
  <si>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</si>
  <si>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</si>
  <si>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</si>
  <si>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</si>
  <si>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</si>
  <si>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</si>
  <si>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</si>
  <si>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</si>
  <si>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</si>
  <si>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</si>
  <si>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</si>
  <si>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</si>
  <si>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</si>
  <si>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</si>
  <si>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</si>
  <si>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</si>
  <si>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</si>
  <si>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</si>
  <si>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</si>
  <si>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</si>
  <si>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</si>
  <si>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</si>
  <si>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</si>
  <si>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</si>
  <si>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</si>
  <si>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</si>
  <si>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</si>
  <si>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</si>
  <si>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</si>
  <si>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</si>
  <si>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</si>
  <si>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</si>
  <si>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</si>
  <si>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</si>
  <si>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</si>
  <si>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</si>
  <si>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</si>
  <si>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</si>
  <si>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</si>
  <si>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</si>
  <si>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</si>
  <si>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</si>
  <si>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</si>
  <si>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</si>
  <si>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</si>
  <si>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</si>
  <si>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</si>
  <si>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</si>
  <si>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</si>
  <si>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</si>
  <si>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</si>
  <si>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</si>
  <si>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</si>
  <si>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</si>
  <si>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</si>
  <si>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</si>
  <si>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</si>
  <si>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</si>
  <si>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</si>
  <si>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</si>
  <si>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</si>
  <si>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</si>
  <si>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</si>
  <si>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</si>
  <si>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</si>
  <si>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</si>
  <si>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</si>
  <si>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</si>
  <si>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</si>
  <si>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</si>
  <si>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</si>
  <si>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</si>
  <si>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</si>
  <si>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</si>
  <si>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</si>
  <si>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</si>
  <si>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</si>
  <si>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</si>
  <si>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</si>
  <si>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</si>
  <si>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</si>
  <si>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</si>
  <si>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</si>
  <si>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</si>
  <si>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</si>
  <si>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</si>
  <si>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</si>
  <si>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</si>
  <si>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</si>
  <si>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</si>
  <si>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</si>
  <si>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</si>
  <si>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</si>
  <si>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</si>
  <si>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</si>
  <si>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</si>
  <si>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</si>
  <si>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</si>
  <si>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</si>
  <si>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</si>
  <si>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</si>
  <si>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</si>
  <si>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</si>
  <si>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</si>
  <si>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</si>
  <si>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</si>
  <si>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</si>
  <si>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</si>
  <si>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</si>
  <si>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</si>
  <si>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</si>
  <si>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</si>
  <si>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</si>
  <si>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</si>
  <si>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</si>
  <si>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</si>
  <si>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</si>
  <si>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</si>
  <si>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</si>
  <si>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</si>
  <si>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</si>
  <si>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</si>
  <si>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</si>
  <si>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</si>
  <si>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</si>
  <si>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</si>
  <si>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</si>
  <si>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</si>
  <si>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</si>
  <si>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</si>
  <si>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</si>
  <si>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</si>
  <si>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</si>
  <si>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</si>
  <si>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</si>
  <si>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</si>
  <si>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</si>
  <si>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</si>
  <si>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</si>
  <si>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</si>
  <si>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</si>
  <si>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</si>
  <si>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</si>
  <si>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</si>
  <si>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</si>
  <si>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</si>
  <si>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</si>
  <si>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</si>
  <si>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</si>
  <si>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</si>
  <si>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</si>
  <si>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</si>
  <si>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</si>
  <si>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</si>
  <si>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</si>
  <si>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</si>
  <si>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</si>
  <si>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</si>
  <si>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</si>
  <si>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</si>
  <si>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</si>
  <si>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</si>
  <si>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</si>
  <si>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</si>
  <si>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</si>
  <si>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</si>
  <si>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</si>
  <si>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</si>
  <si>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</si>
  <si>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</si>
  <si>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</si>
  <si>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</si>
  <si>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</si>
  <si>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</si>
  <si>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</si>
  <si>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</si>
  <si>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</si>
  <si>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</si>
  <si>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</si>
  <si>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</si>
  <si>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</si>
  <si>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</si>
  <si>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</si>
  <si>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</si>
  <si>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</si>
  <si>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</si>
  <si>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</si>
  <si>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</si>
  <si>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</si>
  <si>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</si>
  <si>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</si>
  <si>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</si>
  <si>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</si>
  <si>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</si>
  <si>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</si>
  <si>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</si>
  <si>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</si>
  <si>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</si>
  <si>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</si>
  <si>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</si>
  <si>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</si>
  <si>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</si>
  <si>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</si>
  <si>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</si>
  <si>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</si>
  <si>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</si>
  <si>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</si>
  <si>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</si>
  <si>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</si>
  <si>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</si>
  <si>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</si>
  <si>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</si>
  <si>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</si>
  <si>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</si>
  <si>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</si>
  <si>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</si>
  <si>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</si>
  <si>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</si>
  <si>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</si>
  <si>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</si>
  <si>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</si>
  <si>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</si>
  <si>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</si>
  <si>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</si>
  <si>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</si>
  <si>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</si>
  <si>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</si>
  <si>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</si>
  <si>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</si>
  <si>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</si>
  <si>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</si>
  <si>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</si>
  <si>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</si>
  <si>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</si>
  <si>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</si>
  <si>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</si>
  <si>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</si>
  <si>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</si>
  <si>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</si>
  <si>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</si>
  <si>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</si>
  <si>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</si>
  <si>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</si>
  <si>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</si>
  <si>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</si>
  <si>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</si>
  <si>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</si>
  <si>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</si>
  <si>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</si>
  <si>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</si>
  <si>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</si>
  <si>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</si>
  <si>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</si>
  <si>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</si>
  <si>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</si>
  <si>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</si>
  <si>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</si>
  <si>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</si>
  <si>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</si>
  <si>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</si>
  <si>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</si>
  <si>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</si>
  <si>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</si>
  <si>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</si>
  <si>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</si>
  <si>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</si>
  <si>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</si>
  <si>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</si>
  <si>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</si>
  <si>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</si>
  <si>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</si>
  <si>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</si>
  <si>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</si>
  <si>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</si>
  <si>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</si>
  <si>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</si>
  <si>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</si>
  <si>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</si>
  <si>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</si>
  <si>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</si>
  <si>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</si>
  <si>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</si>
  <si>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</si>
  <si>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</si>
  <si>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</si>
  <si>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</si>
  <si>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</si>
  <si>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</si>
  <si>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</si>
  <si>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</si>
  <si>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</si>
  <si>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</si>
  <si>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</si>
  <si>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</si>
  <si>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</si>
  <si>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</si>
  <si>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</si>
  <si>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</si>
  <si>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</si>
  <si>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</si>
  <si>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</si>
  <si>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</si>
  <si>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</si>
  <si>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</si>
  <si>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</si>
  <si>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</si>
  <si>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</si>
  <si>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</si>
  <si>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</si>
  <si>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</si>
  <si>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</si>
  <si>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</si>
  <si>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</si>
  <si>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</si>
  <si>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</si>
  <si>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</si>
  <si>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</si>
  <si>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</si>
  <si>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</si>
  <si>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</si>
  <si>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</si>
  <si>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</si>
  <si>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</si>
  <si>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</si>
  <si>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</si>
  <si>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</si>
  <si>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</si>
  <si>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</si>
  <si>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</si>
  <si>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</si>
  <si>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</si>
  <si>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</si>
  <si>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</si>
  <si>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</si>
  <si>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</si>
  <si>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</si>
  <si>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</si>
  <si>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</si>
  <si>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</si>
  <si>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</si>
  <si>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</si>
  <si>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</si>
  <si>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</si>
  <si>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</si>
  <si>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</si>
  <si>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</si>
  <si>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</si>
  <si>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</si>
  <si>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</si>
  <si>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</si>
  <si>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</si>
  <si>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</si>
  <si>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</si>
  <si>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</si>
  <si>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</si>
  <si>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</si>
  <si>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</si>
  <si>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</si>
  <si>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</si>
  <si>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</si>
  <si>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</si>
  <si>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</si>
  <si>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</si>
  <si>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</si>
  <si>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</si>
  <si>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</si>
  <si>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</si>
  <si>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</si>
  <si>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</si>
  <si>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</si>
  <si>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</si>
  <si>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</si>
  <si>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</si>
  <si>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</si>
  <si>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</si>
  <si>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</si>
  <si>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</si>
  <si>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</si>
  <si>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</si>
  <si>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</si>
  <si>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</si>
  <si>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</si>
  <si>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</si>
  <si>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</si>
  <si>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</si>
  <si>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</si>
  <si>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</si>
  <si>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</si>
  <si>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</si>
  <si>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</si>
  <si>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</si>
  <si>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</si>
  <si>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</si>
  <si>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</si>
  <si>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</si>
  <si>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</si>
  <si>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</si>
  <si>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</si>
  <si>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</si>
  <si>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</si>
  <si>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</si>
  <si>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</si>
  <si>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</si>
  <si>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</si>
  <si>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</si>
  <si>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</si>
  <si>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</si>
  <si>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</si>
  <si>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</si>
  <si>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</si>
  <si>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</si>
  <si>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</si>
  <si>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</si>
  <si>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</si>
  <si>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</si>
  <si>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</si>
  <si>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</si>
  <si>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</si>
  <si>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</si>
  <si>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</si>
  <si>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</si>
  <si>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</si>
  <si>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</si>
  <si>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</si>
  <si>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</si>
  <si>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</si>
  <si>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</si>
  <si>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</si>
  <si>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</si>
  <si>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</si>
  <si>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</si>
  <si>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</si>
  <si>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</si>
  <si>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</si>
  <si>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</si>
  <si>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</si>
  <si>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</si>
  <si>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</si>
  <si>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</si>
  <si>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</si>
  <si>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</si>
  <si>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</si>
  <si>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</si>
  <si>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</si>
  <si>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</si>
  <si>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</si>
  <si>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</si>
  <si>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</si>
  <si>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</si>
  <si>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</si>
  <si>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</si>
  <si>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</si>
  <si>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</si>
  <si>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</si>
  <si>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</si>
  <si>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</si>
  <si>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</si>
  <si>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</si>
  <si>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</si>
  <si>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</si>
  <si>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</si>
  <si>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</si>
  <si>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</si>
  <si>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</si>
  <si>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</si>
  <si>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</si>
  <si>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</si>
  <si>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</si>
  <si>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</si>
  <si>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</si>
  <si>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</si>
  <si>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</si>
  <si>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</si>
  <si>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</si>
  <si>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</si>
  <si>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</si>
  <si>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</si>
  <si>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</si>
  <si>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</si>
  <si>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</si>
  <si>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</si>
  <si>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</si>
  <si>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</si>
  <si>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</si>
  <si>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</si>
  <si>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</si>
  <si>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</si>
  <si>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</si>
  <si>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</si>
  <si>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</si>
  <si>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</si>
  <si>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</si>
  <si>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</si>
  <si>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</si>
  <si>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</si>
  <si>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</si>
  <si>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</si>
  <si>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</si>
  <si>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</si>
  <si>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</si>
  <si>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</si>
  <si>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</si>
  <si>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</si>
  <si>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</si>
  <si>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</si>
  <si>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</si>
  <si>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</si>
  <si>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</si>
  <si>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</si>
  <si>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</si>
  <si>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</si>
  <si>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</si>
  <si>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</si>
  <si>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</si>
  <si>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</si>
  <si>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</si>
  <si>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</si>
  <si>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</si>
  <si>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</si>
  <si>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</si>
  <si>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</si>
  <si>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</si>
  <si>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</si>
  <si>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</si>
  <si>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</si>
  <si>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</si>
  <si>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</si>
  <si>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</si>
  <si>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</si>
  <si>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</si>
  <si>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</si>
  <si>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</si>
  <si>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</si>
  <si>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</si>
  <si>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</si>
  <si>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</si>
  <si>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</si>
  <si>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</si>
  <si>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</si>
  <si>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</si>
  <si>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</si>
  <si>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</si>
  <si>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</si>
  <si>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</si>
  <si>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</si>
  <si>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</si>
  <si>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</si>
  <si>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</si>
  <si>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</si>
  <si>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</si>
  <si>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</si>
  <si>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</si>
  <si>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</si>
  <si>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</si>
  <si>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</si>
  <si>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</si>
  <si>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</si>
  <si>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</si>
  <si>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</si>
  <si>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</si>
  <si>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</si>
  <si>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</si>
  <si>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</si>
  <si>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</si>
  <si>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</si>
  <si>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</si>
  <si>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</si>
  <si>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</si>
  <si>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</si>
  <si>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</si>
  <si>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</si>
  <si>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</si>
  <si>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</si>
  <si>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</si>
  <si>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</si>
  <si>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</si>
  <si>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</si>
  <si>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</si>
  <si>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</si>
  <si>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</si>
  <si>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</si>
  <si>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</si>
  <si>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</si>
  <si>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</si>
  <si>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</si>
  <si>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</si>
  <si>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</si>
  <si>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</si>
  <si>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</si>
  <si>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</si>
  <si>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</si>
  <si>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</si>
  <si>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</si>
  <si>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</si>
  <si>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</si>
  <si>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</si>
  <si>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</si>
  <si>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</si>
  <si>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</si>
  <si>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</si>
  <si>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</si>
  <si>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</si>
  <si>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</si>
  <si>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</si>
  <si>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</si>
  <si>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</si>
  <si>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</si>
  <si>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</si>
  <si>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</si>
  <si>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</si>
  <si>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</si>
  <si>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</si>
  <si>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</si>
  <si>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</si>
  <si>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</si>
  <si>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</si>
  <si>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</si>
  <si>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</si>
  <si>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</si>
  <si>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</si>
  <si>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</si>
  <si>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</si>
  <si>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</si>
  <si>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</si>
  <si>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</si>
  <si>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</si>
  <si>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</si>
  <si>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</si>
  <si>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</si>
  <si>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</si>
  <si>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</si>
  <si>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</si>
  <si>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</si>
  <si>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</si>
  <si>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</si>
  <si>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</si>
  <si>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</si>
  <si>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</si>
  <si>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</si>
  <si>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</si>
  <si>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</si>
  <si>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</si>
  <si>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</si>
  <si>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</si>
  <si>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</si>
  <si>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</si>
  <si>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</si>
  <si>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</si>
  <si>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</si>
  <si>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</si>
  <si>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</si>
  <si>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</si>
  <si>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</si>
  <si>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</si>
  <si>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</si>
  <si>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</si>
  <si>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</si>
  <si>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</si>
  <si>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</si>
  <si>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</si>
  <si>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</si>
  <si>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</si>
  <si>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</si>
  <si>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</si>
  <si>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</si>
  <si>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</si>
  <si>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</si>
  <si>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</si>
  <si>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</si>
  <si>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</si>
  <si>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</si>
  <si>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</si>
  <si>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</si>
  <si>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</si>
  <si>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</si>
  <si>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</si>
  <si>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</si>
  <si>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</si>
  <si>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</si>
  <si>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</si>
  <si>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</si>
  <si>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</si>
  <si>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</si>
  <si>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</si>
  <si>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</si>
  <si>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</si>
  <si>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</si>
  <si>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</si>
  <si>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</si>
  <si>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</si>
  <si>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</si>
  <si>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</si>
  <si>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</si>
  <si>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</si>
  <si>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</si>
  <si>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</si>
  <si>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</si>
  <si>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</si>
  <si>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</si>
  <si>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</si>
  <si>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</si>
  <si>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</si>
  <si>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</si>
  <si>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</si>
  <si>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</si>
  <si>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</si>
  <si>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</si>
  <si>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</si>
  <si>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</si>
  <si>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</si>
  <si>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</si>
  <si>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</si>
  <si>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</si>
  <si>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</si>
  <si>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</si>
  <si>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</si>
  <si>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</si>
  <si>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</si>
  <si>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</si>
  <si>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</si>
  <si>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</si>
  <si>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</si>
  <si>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</si>
  <si>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</si>
  <si>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</si>
  <si>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</si>
  <si>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</si>
  <si>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</si>
  <si>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</si>
  <si>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</si>
  <si>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</si>
  <si>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</si>
  <si>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</si>
  <si>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</si>
  <si>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</si>
  <si>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</si>
  <si>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</si>
  <si>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</si>
  <si>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</si>
  <si>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</si>
  <si>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</si>
  <si>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</si>
  <si>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</si>
  <si>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</si>
  <si>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</si>
  <si>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</si>
  <si>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</si>
  <si>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</si>
  <si>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</si>
  <si>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</si>
  <si>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</si>
  <si>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</si>
  <si>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</si>
  <si>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</si>
  <si>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</si>
  <si>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</si>
  <si>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</si>
  <si>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</si>
  <si>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</si>
  <si>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</si>
  <si>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</si>
  <si>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</si>
  <si>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</si>
  <si>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</si>
  <si>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</si>
  <si>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</si>
  <si>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</si>
  <si>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</si>
  <si>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</si>
  <si>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</si>
  <si>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</si>
  <si>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</si>
  <si>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</si>
  <si>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</si>
  <si>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</si>
  <si>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</si>
  <si>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</si>
  <si>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</si>
  <si>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</si>
  <si>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</si>
  <si>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</si>
  <si>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</si>
  <si>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</si>
  <si>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</si>
  <si>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</si>
  <si>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</si>
  <si>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</si>
  <si>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</si>
  <si>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</si>
  <si>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</si>
  <si>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</si>
  <si>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</si>
  <si>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</si>
  <si>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</si>
  <si>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</si>
  <si>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</si>
  <si>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</si>
  <si>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</si>
  <si>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</si>
  <si>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</si>
  <si>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</si>
  <si>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</si>
  <si>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</si>
  <si>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</si>
  <si>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</si>
  <si>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</si>
  <si>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</si>
  <si>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</si>
  <si>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</si>
  <si>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</si>
  <si>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</si>
  <si>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</si>
  <si>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</si>
  <si>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</si>
  <si>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</si>
  <si>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</si>
  <si>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</si>
  <si>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</si>
  <si>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</si>
  <si>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</si>
  <si>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</si>
  <si>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</si>
  <si>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</si>
  <si>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</si>
  <si>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</si>
  <si>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</si>
  <si>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</si>
  <si>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</si>
  <si>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</si>
  <si>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</si>
  <si>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</si>
  <si>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</si>
  <si>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</si>
  <si>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</si>
  <si>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</si>
  <si>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</si>
  <si>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</si>
  <si>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</si>
  <si>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</si>
  <si>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</si>
  <si>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</si>
  <si>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</si>
  <si>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</si>
  <si>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</si>
  <si>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</si>
  <si>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</si>
  <si>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</si>
  <si>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</si>
  <si>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</si>
  <si>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</si>
  <si>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</si>
  <si>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</si>
  <si>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</si>
  <si>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</si>
  <si>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</si>
  <si>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</si>
  <si>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</si>
  <si>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</si>
  <si>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</si>
  <si>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</si>
  <si>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</si>
  <si>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</si>
  <si>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</si>
  <si>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</si>
  <si>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</si>
  <si>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</si>
  <si>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</si>
  <si>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</si>
  <si>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</si>
  <si>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</si>
  <si>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</si>
  <si>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</si>
  <si>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</si>
  <si>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</si>
  <si>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</si>
  <si>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</si>
  <si>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</si>
  <si>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</si>
  <si>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</si>
  <si>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</si>
  <si>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</si>
  <si>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</si>
  <si>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</si>
  <si>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</si>
  <si>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</si>
  <si>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</si>
  <si>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</si>
  <si>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</si>
  <si>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</si>
  <si>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</si>
  <si>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</si>
  <si>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</si>
  <si>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</si>
  <si>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</si>
  <si>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</si>
  <si>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</si>
  <si>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</si>
  <si>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</si>
  <si>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</si>
  <si>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</si>
  <si>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</si>
  <si>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</si>
  <si>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</si>
  <si>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</si>
  <si>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</si>
  <si>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</si>
  <si>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</si>
  <si>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</si>
  <si>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</si>
  <si>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</si>
  <si>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</si>
  <si>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</si>
  <si>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</si>
  <si>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</si>
  <si>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</si>
  <si>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</si>
  <si>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</si>
  <si>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</si>
  <si>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</si>
  <si>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</si>
  <si>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</si>
  <si>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</si>
  <si>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</si>
  <si>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</si>
  <si>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</si>
  <si>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</si>
  <si>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</si>
  <si>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</si>
  <si>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</si>
  <si>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</si>
  <si>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</si>
  <si>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</si>
  <si>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</si>
  <si>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</si>
  <si>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</si>
  <si>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</si>
  <si>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</si>
  <si>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</si>
  <si>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</si>
  <si>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</si>
  <si>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</si>
  <si>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</si>
  <si>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</si>
  <si>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</si>
  <si>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</si>
  <si>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</si>
  <si>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</si>
  <si>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</si>
  <si>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</si>
  <si>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</si>
  <si>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</si>
  <si>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</si>
  <si>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</si>
  <si>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</si>
  <si>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</si>
  <si>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</si>
  <si>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</si>
  <si>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</si>
  <si>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</si>
  <si>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</si>
  <si>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</si>
  <si>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</si>
  <si>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</si>
  <si>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</si>
  <si>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</si>
  <si>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</si>
  <si>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</si>
  <si>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</si>
  <si>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</si>
  <si>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</si>
  <si>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</si>
  <si>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</si>
  <si>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</si>
  <si>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</si>
  <si>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</si>
  <si>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</si>
  <si>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</si>
  <si>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</si>
  <si>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</si>
  <si>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</si>
  <si>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</si>
  <si>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</si>
  <si>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</si>
  <si>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</si>
  <si>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</si>
  <si>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</si>
  <si>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</si>
  <si>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</si>
  <si>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</si>
  <si>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</si>
  <si>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</si>
  <si>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</si>
  <si>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</si>
  <si>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</si>
  <si>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</si>
  <si>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</si>
  <si>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</si>
  <si>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</si>
  <si>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</si>
  <si>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</si>
  <si>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</si>
  <si>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</si>
  <si>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</si>
  <si>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</si>
  <si>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</si>
  <si>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</si>
  <si>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</si>
  <si>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</si>
  <si>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</si>
  <si>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</si>
  <si>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</si>
  <si>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</si>
  <si>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</si>
  <si>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</si>
  <si>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</si>
  <si>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</si>
  <si>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</si>
  <si>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</si>
  <si>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</si>
  <si>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</si>
  <si>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</si>
  <si>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</si>
  <si>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</si>
  <si>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</si>
  <si>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</si>
  <si>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</si>
  <si>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</si>
  <si>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</si>
  <si>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</si>
  <si>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</si>
  <si>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</si>
  <si>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</si>
  <si>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</si>
  <si>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</si>
  <si>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</si>
  <si>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</si>
  <si>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</si>
  <si>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</si>
  <si>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</si>
  <si>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</si>
  <si>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</si>
  <si>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</si>
  <si>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</si>
  <si>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</si>
  <si>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</si>
  <si>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</si>
  <si>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</si>
  <si>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</si>
  <si>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</si>
  <si>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</si>
  <si>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</si>
  <si>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</si>
  <si>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</si>
  <si>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</si>
  <si>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</si>
  <si>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</si>
  <si>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</si>
  <si>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</si>
  <si>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</si>
  <si>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</si>
  <si>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</si>
  <si>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</si>
  <si>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</si>
  <si>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</si>
  <si>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</si>
  <si>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</si>
  <si>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</si>
  <si>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</si>
  <si>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</si>
  <si>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</si>
  <si>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</si>
  <si>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</si>
  <si>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</si>
  <si>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</si>
  <si>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</si>
  <si>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</si>
  <si>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</si>
  <si>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</si>
  <si>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</si>
  <si>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</si>
  <si>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</si>
  <si>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</si>
  <si>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</si>
  <si>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</si>
  <si>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</si>
  <si>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</si>
  <si>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</si>
  <si>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</si>
  <si>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</si>
  <si>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</si>
  <si>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</si>
  <si>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</si>
  <si>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</si>
  <si>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</si>
  <si>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</si>
  <si>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</si>
  <si>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</si>
  <si>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</si>
  <si>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</si>
  <si>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</si>
  <si>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</si>
  <si>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</si>
  <si>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</si>
  <si>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</si>
  <si>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</si>
  <si>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</si>
  <si>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</si>
  <si>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</si>
  <si>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</si>
  <si>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</si>
  <si>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</si>
  <si>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</si>
  <si>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</si>
  <si>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</si>
  <si>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</si>
  <si>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</si>
  <si>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</si>
  <si>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</si>
  <si>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</si>
  <si>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</si>
  <si>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</si>
  <si>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</si>
  <si>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</si>
  <si>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</si>
  <si>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</si>
  <si>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</si>
  <si>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</si>
  <si>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</si>
  <si>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</si>
  <si>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</si>
  <si>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</si>
  <si>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</si>
  <si>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</si>
  <si>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</si>
  <si>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</si>
  <si>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</si>
  <si>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</si>
  <si>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</si>
  <si>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</si>
  <si>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</si>
  <si>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</si>
  <si>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</si>
  <si>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</si>
  <si>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</si>
  <si>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</si>
  <si>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</si>
  <si>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</si>
  <si>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</si>
  <si>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</si>
  <si>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</si>
  <si>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</si>
  <si>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</si>
  <si>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</si>
  <si>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</si>
  <si>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</si>
  <si>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</si>
  <si>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</si>
  <si>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</si>
  <si>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</si>
  <si>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</si>
  <si>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</si>
  <si>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</si>
  <si>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</si>
  <si>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</si>
  <si>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</si>
  <si>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</si>
  <si>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</si>
  <si>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</si>
  <si>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</si>
  <si>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</si>
  <si>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</si>
  <si>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</si>
  <si>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</si>
  <si>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</si>
  <si>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</si>
  <si>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</si>
  <si>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</si>
  <si>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</si>
  <si>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</si>
  <si>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</si>
  <si>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</si>
  <si>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</si>
  <si>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</si>
  <si>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</si>
  <si>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</si>
  <si>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</si>
  <si>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</si>
  <si>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</si>
  <si>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</si>
  <si>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</si>
  <si>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</si>
  <si>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</si>
  <si>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</si>
  <si>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</si>
  <si>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</si>
  <si>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</si>
  <si>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</si>
  <si>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</si>
  <si>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</si>
  <si>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</si>
  <si>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</si>
  <si>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</si>
  <si>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</si>
  <si>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</si>
  <si>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</si>
  <si>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</si>
  <si>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</si>
  <si>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</si>
  <si>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</si>
  <si>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</si>
  <si>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</si>
  <si>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</si>
  <si>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</si>
  <si>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</si>
  <si>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</si>
  <si>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</si>
  <si>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</si>
  <si>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</si>
  <si>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</si>
  <si>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</si>
  <si>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</si>
  <si>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</si>
  <si>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</si>
  <si>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</si>
  <si>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</si>
  <si>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</si>
  <si>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</si>
  <si>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</si>
  <si>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</si>
  <si>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</si>
  <si>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</si>
  <si>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</si>
  <si>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</si>
  <si>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</si>
  <si>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</si>
  <si>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</si>
  <si>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</si>
  <si>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</si>
  <si>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</si>
  <si>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</si>
  <si>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</si>
  <si>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</si>
  <si>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</si>
  <si>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</si>
  <si>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</si>
  <si>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</si>
  <si>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</si>
  <si>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</si>
  <si>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</si>
  <si>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</si>
  <si>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</si>
  <si>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</si>
  <si>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</si>
  <si>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</si>
  <si>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</si>
  <si>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</si>
  <si>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</si>
  <si>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</si>
  <si>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</si>
  <si>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</si>
  <si>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</si>
  <si>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</si>
  <si>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</si>
  <si>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</si>
  <si>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</si>
  <si>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</si>
  <si>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</si>
  <si>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</si>
  <si>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</si>
  <si>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</si>
  <si>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</si>
  <si>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</si>
  <si>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</si>
  <si>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</si>
  <si>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</si>
  <si>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</si>
  <si>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</si>
  <si>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</si>
  <si>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</si>
  <si>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</si>
  <si>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</si>
  <si>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</si>
  <si>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</si>
  <si>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</si>
  <si>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</si>
  <si>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</si>
  <si>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</si>
  <si>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</si>
  <si>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</si>
  <si>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</si>
  <si>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</si>
  <si>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</si>
  <si>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</si>
  <si>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</si>
  <si>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</si>
  <si>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</si>
  <si>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</si>
  <si>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</si>
  <si>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</si>
  <si>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</si>
  <si>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</si>
  <si>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</si>
  <si>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</si>
  <si>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</si>
  <si>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</si>
  <si>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</si>
  <si>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</si>
  <si>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</si>
  <si>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</si>
  <si>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</si>
  <si>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</si>
  <si>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</si>
  <si>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</si>
  <si>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</si>
  <si>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</si>
  <si>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</si>
  <si>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</si>
  <si>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</si>
  <si>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</si>
  <si>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</si>
  <si>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</si>
  <si>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</si>
  <si>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</si>
  <si>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</si>
  <si>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</si>
  <si>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</si>
  <si>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</si>
  <si>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</si>
  <si>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</si>
  <si>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</si>
  <si>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</si>
  <si>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</si>
  <si>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</si>
  <si>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</si>
  <si>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</si>
  <si>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</si>
  <si>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</si>
  <si>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</si>
  <si>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</si>
  <si>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</si>
  <si>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</si>
  <si>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</si>
  <si>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</si>
  <si>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</si>
  <si>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</si>
  <si>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</si>
  <si>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</si>
  <si>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</si>
  <si>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</si>
  <si>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</si>
  <si>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</si>
  <si>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</si>
  <si>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</si>
  <si>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</si>
  <si>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</si>
  <si>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</si>
  <si>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</si>
  <si>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</si>
  <si>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</si>
  <si>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</si>
  <si>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</si>
  <si>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</si>
  <si>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</si>
  <si>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</si>
  <si>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</si>
  <si>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</si>
  <si>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</si>
  <si>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</si>
  <si>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</si>
  <si>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</si>
  <si>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</si>
  <si>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</si>
  <si>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</si>
  <si>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</si>
  <si>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</si>
  <si>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</si>
  <si>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</si>
  <si>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</si>
  <si>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</si>
  <si>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</si>
  <si>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</si>
  <si>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</si>
  <si>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</si>
  <si>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</si>
  <si>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</si>
  <si>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</si>
  <si>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</si>
  <si>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</si>
  <si>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</si>
  <si>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</si>
  <si>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</si>
  <si>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</si>
  <si>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</si>
  <si>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</si>
  <si>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</si>
  <si>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</si>
  <si>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</si>
  <si>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</si>
  <si>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</si>
  <si>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</si>
  <si>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</si>
  <si>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</si>
  <si>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</si>
  <si>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</si>
  <si>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</si>
  <si>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</si>
  <si>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</si>
  <si>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</si>
  <si>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</si>
  <si>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</si>
  <si>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</si>
  <si>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</si>
  <si>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</si>
  <si>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</si>
  <si>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</si>
  <si>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</si>
  <si>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</si>
  <si>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</si>
  <si>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</si>
  <si>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</si>
  <si>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</si>
  <si>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</si>
  <si>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</si>
  <si>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</si>
  <si>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</si>
  <si>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</si>
  <si>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</si>
  <si>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</si>
  <si>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</si>
  <si>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</si>
  <si>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</si>
  <si>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</si>
  <si>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</si>
  <si>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</si>
  <si>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</si>
  <si>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</si>
  <si>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</si>
  <si>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</si>
  <si>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</si>
  <si>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</si>
  <si>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</si>
  <si>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</si>
  <si>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</si>
  <si>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</si>
  <si>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</si>
  <si>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</si>
  <si>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</si>
  <si>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</si>
  <si>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</si>
  <si>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</si>
  <si>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</si>
  <si>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</si>
  <si>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</si>
  <si>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</si>
  <si>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</si>
  <si>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</si>
  <si>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</si>
  <si>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</si>
  <si>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</si>
  <si>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</si>
  <si>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</si>
  <si>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</si>
  <si>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</si>
  <si>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</si>
  <si>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</si>
  <si>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</si>
  <si>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</si>
  <si>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</si>
  <si>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</si>
  <si>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</si>
  <si>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</si>
  <si>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</si>
  <si>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</si>
  <si>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</si>
  <si>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</si>
  <si>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</si>
  <si>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</si>
  <si>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</si>
  <si>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</si>
  <si>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</si>
  <si>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</si>
  <si>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</si>
  <si>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</si>
  <si>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</si>
  <si>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</si>
  <si>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</si>
  <si>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</si>
  <si>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</si>
  <si>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</si>
  <si>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</si>
  <si>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</si>
  <si>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</si>
  <si>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</si>
  <si>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</si>
  <si>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</si>
  <si>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</si>
  <si>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</si>
  <si>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</si>
  <si>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</si>
  <si>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</si>
  <si>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</si>
  <si>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</si>
  <si>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</si>
  <si>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</si>
  <si>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</si>
  <si>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</si>
  <si>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</si>
  <si>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</si>
  <si>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</si>
  <si>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</si>
  <si>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</si>
  <si>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</si>
  <si>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</si>
  <si>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</si>
  <si>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</si>
  <si>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</si>
  <si>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</si>
  <si>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</si>
  <si>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</si>
  <si>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</si>
  <si>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</si>
  <si>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</si>
  <si>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</si>
  <si>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</si>
  <si>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</si>
  <si>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</si>
  <si>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</si>
  <si>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</si>
  <si>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</si>
  <si>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</si>
  <si>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</si>
  <si>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</si>
  <si>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</si>
  <si>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</si>
  <si>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</si>
  <si>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</si>
  <si>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</si>
  <si>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</si>
  <si>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</si>
  <si>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</si>
  <si>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</si>
  <si>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</si>
  <si>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</si>
  <si>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</si>
  <si>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</si>
  <si>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</si>
  <si>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</si>
  <si>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</si>
  <si>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</si>
  <si>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</si>
  <si>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</si>
  <si>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</si>
  <si>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</si>
  <si>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</si>
  <si>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</si>
  <si>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</si>
  <si>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</si>
  <si>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</si>
  <si>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</si>
  <si>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</si>
  <si>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</si>
  <si>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</si>
  <si>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</si>
  <si>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</si>
  <si>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</si>
  <si>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</si>
  <si>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</si>
  <si>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</si>
  <si>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</si>
  <si>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</si>
  <si>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</si>
  <si>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</si>
  <si>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</si>
  <si>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</si>
  <si>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</si>
  <si>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</si>
  <si>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</si>
  <si>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</si>
  <si>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</si>
  <si>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</si>
  <si>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</si>
  <si>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</si>
  <si>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</si>
  <si>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</si>
  <si>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</si>
  <si>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</si>
  <si>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</si>
  <si>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</si>
  <si>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</si>
  <si>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</si>
  <si>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</si>
  <si>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</si>
  <si>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</si>
  <si>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</si>
  <si>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</si>
  <si>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</si>
  <si>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</si>
  <si>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</si>
  <si>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</si>
  <si>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</si>
  <si>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</si>
  <si>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</si>
  <si>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</si>
  <si>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</si>
  <si>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</si>
  <si>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</si>
  <si>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</si>
  <si>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</si>
  <si>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</si>
  <si>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</si>
  <si>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</si>
  <si>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</si>
  <si>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</si>
  <si>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</si>
  <si>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</si>
  <si>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</si>
  <si>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</si>
  <si>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</si>
  <si>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</si>
  <si>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</si>
  <si>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</si>
  <si>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</si>
  <si>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</si>
  <si>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</si>
  <si>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</si>
  <si>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</si>
  <si>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</si>
  <si>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</si>
  <si>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</si>
  <si>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</si>
  <si>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</si>
  <si>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</si>
  <si>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</si>
  <si>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</si>
  <si>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</si>
  <si>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</si>
  <si>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</si>
  <si>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</si>
  <si>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</si>
  <si>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</si>
  <si>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</si>
  <si>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</si>
  <si>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</si>
  <si>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</si>
  <si>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</si>
  <si>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</si>
  <si>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</si>
  <si>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</si>
  <si>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</si>
  <si>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</si>
  <si>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</si>
  <si>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</si>
  <si>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</si>
  <si>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</si>
  <si>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</si>
  <si>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</si>
  <si>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</si>
  <si>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</si>
  <si>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</si>
  <si>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</si>
  <si>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</si>
  <si>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</si>
  <si>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</si>
  <si>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</si>
  <si>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</si>
  <si>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</si>
  <si>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</si>
  <si>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</si>
  <si>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</si>
  <si>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</si>
  <si>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</si>
  <si>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</si>
  <si>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</si>
  <si>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</si>
  <si>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</si>
  <si>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</si>
  <si>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</si>
  <si>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</si>
  <si>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</si>
  <si>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</si>
  <si>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</si>
  <si>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</si>
  <si>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</si>
  <si>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</si>
  <si>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</si>
  <si>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</si>
  <si>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</si>
  <si>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</si>
  <si>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</si>
  <si>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</si>
  <si>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</si>
  <si>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</si>
  <si>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</si>
  <si>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</si>
  <si>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</si>
  <si>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</si>
  <si>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</si>
  <si>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</si>
  <si>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</si>
  <si>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</si>
  <si>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</si>
  <si>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</si>
  <si>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</si>
  <si>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</si>
  <si>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</si>
  <si>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</si>
  <si>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</si>
  <si>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</si>
  <si>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</si>
  <si>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</si>
  <si>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</si>
  <si>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</si>
  <si>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</si>
  <si>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</si>
  <si>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</si>
  <si>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</si>
  <si>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</si>
  <si>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</si>
  <si>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</si>
  <si>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</si>
  <si>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</si>
  <si>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</si>
  <si>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</si>
  <si>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</si>
  <si>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</si>
  <si>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</si>
  <si>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</si>
  <si>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</si>
  <si>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</si>
  <si>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</si>
  <si>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</si>
  <si>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</si>
  <si>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</si>
  <si>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</si>
  <si>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</si>
  <si>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</si>
  <si>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</si>
  <si>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</si>
  <si>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</si>
  <si>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</si>
  <si>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</si>
  <si>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</si>
  <si>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</si>
  <si>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</si>
  <si>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</si>
  <si>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</si>
  <si>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</si>
  <si>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</si>
  <si>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</si>
  <si>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</si>
  <si>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</si>
  <si>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</si>
  <si>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</si>
  <si>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</si>
  <si>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</si>
  <si>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</si>
  <si>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</si>
  <si>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</si>
  <si>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</si>
  <si>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</si>
  <si>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</si>
  <si>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</si>
  <si>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</si>
  <si>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</si>
  <si>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</si>
  <si>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</si>
  <si>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</si>
  <si>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</si>
  <si>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</si>
  <si>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</si>
  <si>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</si>
  <si>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</si>
  <si>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</si>
  <si>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</si>
  <si>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</si>
  <si>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</si>
  <si>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</si>
  <si>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</si>
  <si>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</si>
  <si>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</si>
  <si>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</si>
  <si>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</si>
  <si>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</si>
  <si>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</si>
  <si>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</si>
  <si>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</si>
  <si>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</si>
  <si>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</si>
  <si>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</si>
  <si>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</si>
  <si>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</si>
  <si>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</si>
  <si>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</si>
  <si>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</si>
  <si>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</si>
  <si>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</si>
  <si>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</si>
  <si>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</si>
  <si>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</si>
  <si>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</si>
  <si>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</si>
  <si>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</si>
  <si>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</si>
  <si>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</si>
  <si>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</si>
  <si>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</si>
  <si>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</si>
  <si>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</si>
  <si>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</si>
  <si>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</si>
  <si>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</si>
  <si>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</si>
  <si>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</si>
  <si>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</si>
  <si>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</si>
  <si>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</si>
  <si>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</si>
  <si>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</si>
  <si>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</si>
  <si>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</si>
  <si>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</si>
  <si>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</si>
  <si>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</si>
  <si>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</si>
  <si>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</si>
  <si>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</si>
  <si>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</si>
  <si>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</si>
  <si>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</si>
  <si>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</si>
  <si>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</si>
  <si>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</si>
  <si>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</si>
  <si>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</si>
  <si>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</si>
  <si>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</si>
  <si>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</si>
  <si>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</si>
  <si>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</si>
  <si>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</si>
  <si>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</si>
  <si>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</si>
  <si>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</si>
  <si>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</si>
  <si>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</si>
  <si>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</si>
  <si>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</si>
  <si>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</si>
  <si>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</si>
  <si>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</si>
  <si>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</si>
  <si>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</si>
  <si>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</si>
  <si>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</si>
  <si>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</si>
  <si>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</si>
  <si>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</si>
  <si>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</si>
  <si>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</si>
  <si>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</si>
  <si>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</si>
  <si>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</si>
  <si>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</si>
  <si>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</si>
  <si>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</si>
  <si>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</si>
  <si>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</si>
  <si>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</si>
  <si>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</si>
  <si>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</si>
  <si>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</si>
  <si>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</si>
  <si>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</si>
  <si>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</si>
  <si>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</si>
  <si>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</si>
  <si>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</si>
  <si>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</si>
  <si>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</si>
  <si>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</si>
  <si>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</si>
  <si>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</si>
  <si>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</si>
  <si>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</si>
  <si>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</si>
  <si>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</si>
  <si>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</si>
  <si>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</si>
  <si>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</si>
  <si>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</si>
  <si>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</si>
  <si>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</si>
  <si>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</si>
  <si>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</si>
  <si>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</si>
  <si>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</si>
  <si>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</si>
  <si>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</si>
  <si>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</si>
  <si>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</si>
  <si>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</si>
  <si>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</si>
  <si>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</si>
  <si>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</si>
  <si>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</si>
  <si>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</si>
  <si>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</si>
  <si>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</si>
  <si>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</si>
  <si>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</si>
  <si>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</si>
  <si>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</si>
  <si>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</si>
  <si>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</si>
  <si>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</si>
  <si>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</si>
  <si>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</si>
  <si>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</si>
  <si>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</si>
  <si>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</si>
  <si>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</si>
  <si>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</si>
  <si>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</si>
  <si>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</si>
  <si>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</si>
  <si>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</si>
  <si>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</si>
  <si>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</si>
  <si>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</si>
  <si>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</si>
  <si>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</si>
  <si>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</si>
  <si>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</si>
  <si>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</si>
  <si>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</si>
  <si>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</si>
  <si>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</si>
  <si>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</si>
  <si>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</si>
  <si>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</si>
  <si>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</si>
  <si>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</si>
  <si>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</si>
  <si>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</si>
  <si>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</si>
  <si>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</si>
  <si>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</si>
  <si>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</si>
  <si>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</si>
  <si>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</si>
  <si>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</si>
  <si>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</si>
  <si>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</si>
  <si>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</si>
  <si>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</si>
  <si>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</si>
  <si>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</si>
  <si>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</si>
  <si>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</si>
  <si>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</si>
  <si>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</si>
  <si>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</si>
  <si>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</si>
  <si>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</si>
  <si>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</si>
  <si>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</si>
  <si>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</si>
  <si>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</si>
  <si>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</si>
  <si>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</si>
  <si>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</si>
  <si>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</si>
  <si>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</si>
  <si>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</si>
  <si>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</si>
  <si>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</si>
  <si>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</si>
  <si>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</si>
  <si>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</si>
  <si>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</si>
  <si>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</si>
  <si>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</si>
  <si>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</si>
  <si>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</si>
  <si>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</si>
  <si>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</si>
  <si>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</si>
  <si>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</si>
  <si>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</si>
  <si>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</si>
  <si>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</si>
  <si>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</si>
  <si>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</si>
  <si>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</si>
  <si>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</si>
  <si>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</si>
  <si>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</si>
  <si>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</si>
  <si>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</si>
  <si>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</si>
  <si>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</si>
  <si>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</si>
  <si>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</si>
  <si>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</si>
  <si>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</si>
  <si>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</si>
  <si>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</si>
  <si>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</si>
  <si>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</si>
  <si>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</si>
  <si>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</si>
  <si>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</si>
  <si>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</si>
  <si>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</si>
  <si>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</si>
  <si>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</si>
  <si>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</si>
  <si>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</si>
  <si>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</si>
  <si>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</si>
  <si>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</si>
  <si>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</si>
  <si>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</si>
  <si>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</si>
  <si>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</si>
  <si>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</si>
  <si>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</si>
  <si>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</si>
  <si>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</si>
  <si>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</si>
  <si>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</si>
  <si>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</si>
  <si>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</si>
  <si>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</si>
  <si>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</si>
  <si>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</si>
  <si>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</si>
  <si>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</si>
  <si>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</si>
  <si>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</si>
  <si>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</si>
  <si>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</si>
  <si>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</si>
  <si>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</si>
  <si>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</si>
  <si>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</si>
  <si>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</si>
  <si>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</si>
  <si>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</si>
  <si>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</si>
  <si>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</si>
  <si>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</si>
  <si>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</si>
  <si>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</si>
  <si>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</si>
  <si>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</si>
  <si>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</si>
  <si>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</si>
  <si>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</si>
  <si>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</si>
  <si>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</si>
  <si>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</si>
  <si>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</si>
  <si>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</si>
  <si>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</si>
  <si>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</si>
  <si>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</si>
  <si>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</si>
  <si>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</si>
  <si>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</si>
  <si>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</si>
  <si>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</si>
  <si>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</si>
  <si>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</si>
  <si>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</si>
  <si>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</si>
  <si>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</si>
  <si>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</si>
  <si>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</si>
  <si>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</si>
  <si>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</si>
  <si>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</si>
  <si>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</si>
  <si>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</si>
  <si>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</si>
  <si>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</si>
  <si>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</si>
  <si>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</si>
  <si>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</si>
  <si>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</si>
  <si>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</si>
  <si>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</si>
  <si>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</si>
  <si>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</si>
  <si>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</si>
  <si>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</si>
  <si>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</si>
  <si>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</si>
  <si>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</si>
  <si>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</si>
  <si>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</si>
  <si>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</si>
  <si>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</si>
  <si>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</si>
  <si>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</si>
  <si>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</si>
  <si>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</si>
  <si>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</si>
  <si>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</si>
  <si>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</si>
  <si>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</si>
  <si>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</si>
  <si>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</si>
  <si>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</si>
  <si>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</si>
  <si>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</si>
  <si>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</si>
  <si>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</si>
  <si>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</si>
  <si>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</si>
  <si>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</si>
  <si>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</si>
  <si>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</si>
  <si>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</si>
  <si>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</si>
  <si>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</si>
  <si>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</si>
  <si>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</si>
  <si>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</si>
  <si>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</si>
  <si>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</si>
  <si>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</si>
  <si>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</si>
  <si>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</si>
  <si>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</si>
  <si>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</si>
  <si>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</si>
  <si>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</si>
  <si>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</si>
  <si>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</si>
  <si>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</si>
  <si>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</si>
  <si>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</si>
  <si>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</si>
  <si>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</si>
  <si>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</si>
  <si>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</si>
  <si>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</si>
  <si>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</si>
  <si>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</si>
  <si>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</si>
  <si>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</si>
  <si>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</si>
  <si>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</si>
  <si>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</si>
  <si>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</si>
  <si>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</si>
  <si>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</si>
  <si>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</si>
  <si>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</si>
  <si>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</si>
  <si>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</si>
  <si>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</si>
  <si>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</si>
  <si>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</si>
  <si>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</si>
  <si>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</si>
  <si>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</si>
  <si>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</si>
  <si>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</si>
  <si>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</si>
  <si>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</si>
  <si>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</si>
  <si>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</si>
  <si>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</si>
  <si>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</si>
  <si>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</si>
  <si>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</si>
  <si>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</si>
  <si>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</si>
  <si>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</si>
  <si>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</si>
  <si>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</si>
  <si>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</si>
  <si>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</si>
  <si>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</si>
  <si>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</si>
  <si>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</si>
  <si>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</si>
  <si>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</si>
  <si>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</si>
  <si>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</si>
  <si>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</si>
  <si>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</si>
  <si>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</si>
  <si>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</si>
  <si>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</si>
  <si>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</si>
  <si>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</si>
  <si>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</si>
  <si>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</si>
  <si>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</si>
  <si>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</si>
  <si>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</si>
  <si>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</si>
  <si>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</si>
  <si>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</si>
  <si>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</si>
  <si>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</si>
  <si>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</si>
  <si>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</si>
  <si>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</si>
  <si>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</si>
  <si>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</si>
  <si>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</si>
  <si>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</si>
  <si>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</si>
  <si>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</si>
  <si>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</si>
  <si>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</si>
  <si>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</si>
  <si>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</si>
  <si>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</si>
  <si>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</si>
  <si>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</si>
  <si>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</si>
  <si>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</si>
  <si>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</si>
  <si>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</si>
  <si>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</si>
  <si>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</si>
  <si>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</si>
  <si>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</si>
  <si>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</si>
  <si>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</si>
  <si>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</si>
  <si>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</si>
  <si>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</si>
  <si>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</si>
  <si>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</si>
  <si>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</si>
  <si>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</si>
  <si>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</si>
  <si>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</si>
  <si>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</si>
  <si>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</si>
  <si>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</si>
  <si>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</si>
  <si>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</si>
  <si>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</si>
  <si>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</si>
  <si>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</si>
  <si>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</si>
  <si>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</si>
  <si>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</si>
  <si>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</si>
  <si>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</si>
  <si>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</si>
  <si>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</si>
  <si>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</si>
  <si>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</si>
  <si>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</si>
  <si>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</si>
  <si>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</si>
  <si>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</si>
  <si>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</si>
  <si>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</si>
  <si>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</si>
  <si>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</si>
  <si>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</si>
  <si>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</si>
  <si>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</si>
  <si>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</si>
  <si>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</si>
  <si>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</si>
  <si>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</si>
  <si>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</si>
  <si>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</si>
  <si>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</si>
  <si>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</si>
  <si>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</si>
  <si>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</si>
  <si>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</si>
  <si>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</si>
  <si>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</si>
  <si>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</si>
  <si>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</si>
  <si>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</si>
  <si>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</si>
  <si>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</si>
  <si>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</si>
  <si>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</si>
  <si>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</si>
  <si>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</si>
  <si>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</si>
  <si>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</si>
  <si>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</si>
  <si>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</si>
  <si>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</si>
  <si>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</si>
  <si>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</si>
  <si>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</si>
  <si>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</si>
  <si>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</si>
  <si>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</si>
  <si>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</si>
  <si>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</si>
  <si>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</si>
  <si>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</si>
  <si>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</si>
  <si>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</si>
  <si>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</si>
  <si>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</si>
  <si>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</si>
  <si>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</si>
  <si>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</si>
  <si>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</si>
  <si>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</si>
  <si>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</si>
  <si>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</si>
  <si>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</si>
  <si>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</si>
  <si>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</si>
  <si>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</si>
  <si>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</si>
  <si>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</si>
  <si>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</si>
  <si>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</si>
  <si>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</si>
  <si>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</si>
  <si>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</si>
  <si>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</si>
  <si>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</si>
  <si>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</si>
  <si>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</si>
  <si>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</si>
  <si>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</si>
  <si>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</si>
  <si>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</si>
  <si>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</si>
  <si>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</si>
  <si>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</si>
  <si>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</si>
  <si>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</si>
  <si>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</si>
  <si>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</si>
  <si>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</si>
  <si>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</si>
  <si>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</si>
  <si>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</si>
  <si>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</si>
  <si>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</si>
  <si>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</si>
  <si>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</si>
  <si>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</si>
  <si>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</si>
  <si>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</si>
  <si>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</si>
  <si>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</si>
  <si>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</si>
  <si>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</si>
  <si>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</si>
  <si>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</si>
  <si>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</si>
  <si>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</si>
  <si>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</si>
  <si>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</si>
  <si>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</si>
  <si>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</si>
  <si>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</si>
  <si>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</si>
  <si>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</si>
  <si>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</si>
  <si>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</si>
  <si>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</si>
  <si>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</si>
  <si>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</si>
  <si>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</si>
  <si>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</si>
  <si>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</si>
  <si>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</si>
  <si>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</si>
  <si>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</si>
  <si>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</si>
  <si>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</si>
  <si>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</si>
  <si>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</si>
  <si>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</si>
  <si>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</si>
  <si>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</si>
  <si>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</si>
  <si>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</si>
  <si>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</si>
  <si>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</si>
  <si>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</si>
  <si>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</si>
  <si>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</si>
  <si>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</si>
  <si>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</si>
  <si>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</si>
  <si>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</si>
  <si>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</si>
  <si>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</si>
  <si>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</si>
  <si>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</si>
  <si>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</si>
  <si>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</si>
  <si>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</si>
  <si>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</si>
  <si>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</si>
  <si>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</si>
  <si>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</si>
  <si>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</si>
  <si>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</si>
  <si>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</si>
  <si>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</si>
  <si>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</si>
  <si>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</si>
  <si>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</si>
  <si>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</si>
  <si>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</si>
  <si>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</si>
  <si>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</si>
  <si>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</si>
  <si>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</si>
  <si>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</si>
  <si>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</si>
  <si>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</si>
  <si>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</si>
  <si>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</si>
  <si>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</si>
  <si>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</si>
  <si>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</si>
  <si>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</si>
  <si>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</si>
  <si>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</si>
  <si>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</si>
  <si>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</si>
  <si>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</si>
  <si>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</si>
  <si>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</si>
  <si>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</si>
  <si>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</si>
  <si>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</si>
  <si>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</si>
  <si>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</si>
  <si>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</si>
  <si>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</si>
  <si>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</si>
  <si>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</si>
  <si>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</si>
  <si>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</si>
  <si>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</si>
  <si>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</si>
  <si>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</si>
  <si>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</si>
  <si>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</si>
  <si>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</si>
  <si>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</si>
  <si>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</si>
  <si>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</si>
  <si>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</si>
  <si>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</si>
  <si>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</si>
  <si>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</si>
  <si>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</si>
  <si>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</si>
  <si>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</si>
  <si>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</si>
  <si>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</si>
  <si>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</si>
  <si>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</si>
  <si>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</si>
  <si>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</si>
  <si>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</si>
  <si>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</si>
  <si>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</si>
  <si>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</si>
  <si>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</si>
  <si>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</si>
  <si>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</si>
  <si>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</si>
  <si>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</si>
  <si>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</si>
  <si>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</si>
  <si>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</si>
  <si>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</si>
  <si>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</si>
  <si>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</si>
  <si>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</si>
  <si>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</si>
  <si>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</si>
  <si>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</si>
  <si>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</si>
  <si>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</si>
  <si>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</si>
  <si>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</si>
  <si>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</si>
  <si>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</si>
  <si>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</si>
  <si>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</si>
  <si>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</si>
  <si>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</si>
  <si>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</si>
  <si>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</si>
  <si>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</si>
  <si>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</si>
  <si>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</si>
  <si>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</si>
  <si>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</si>
  <si>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</si>
  <si>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</si>
  <si>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</si>
  <si>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</si>
  <si>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</si>
  <si>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</si>
  <si>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</si>
  <si>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</si>
  <si>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</si>
  <si>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</si>
  <si>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</si>
  <si>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</si>
  <si>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</si>
  <si>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</si>
  <si>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</si>
  <si>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</si>
  <si>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</si>
  <si>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</si>
  <si>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</si>
  <si>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</si>
  <si>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</si>
  <si>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</si>
  <si>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</si>
  <si>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</si>
  <si>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</si>
  <si>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</si>
  <si>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</si>
  <si>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</si>
  <si>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</si>
  <si>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</si>
  <si>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</si>
  <si>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</si>
  <si>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</si>
  <si>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</si>
  <si>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</si>
  <si>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</si>
  <si>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</si>
  <si>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</si>
  <si>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</si>
  <si>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</si>
  <si>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</si>
  <si>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</si>
  <si>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</si>
  <si>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</si>
  <si>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</si>
  <si>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</si>
  <si>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</si>
  <si>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</si>
  <si>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</si>
  <si>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</si>
  <si>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</si>
  <si>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</si>
  <si>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</si>
  <si>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</si>
  <si>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</si>
  <si>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</si>
  <si>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</si>
  <si>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</si>
  <si>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</si>
  <si>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</si>
  <si>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</si>
  <si>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</si>
  <si>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</si>
  <si>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</si>
  <si>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</si>
  <si>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</si>
  <si>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</si>
  <si>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</si>
  <si>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</si>
  <si>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</si>
  <si>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</si>
  <si>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</si>
  <si>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</si>
  <si>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</si>
  <si>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</si>
  <si>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</si>
  <si>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</si>
  <si>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</si>
  <si>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</si>
  <si>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</si>
  <si>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</si>
  <si>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</si>
  <si>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</si>
  <si>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</si>
  <si>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</si>
  <si>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</si>
  <si>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</si>
  <si>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</si>
  <si>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</si>
  <si>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</si>
  <si>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</si>
  <si>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</si>
  <si>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</si>
  <si>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</si>
  <si>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</si>
  <si>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</si>
  <si>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</si>
  <si>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</si>
  <si>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</si>
  <si>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</si>
  <si>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</si>
  <si>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</si>
  <si>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</si>
  <si>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</si>
  <si>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</si>
  <si>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</si>
  <si>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</si>
  <si>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</si>
  <si>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</si>
  <si>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</si>
  <si>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</si>
  <si>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</si>
  <si>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</si>
  <si>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</si>
  <si>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</si>
  <si>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</si>
  <si>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</si>
  <si>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</si>
  <si>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</si>
  <si>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</si>
  <si>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</si>
  <si>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</si>
  <si>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</si>
  <si>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</si>
  <si>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</si>
  <si>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</si>
  <si>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</si>
  <si>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</si>
  <si>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</si>
  <si>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</si>
  <si>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</si>
  <si>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</si>
  <si>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</si>
  <si>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</si>
  <si>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</si>
  <si>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</si>
  <si>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</si>
  <si>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</si>
  <si>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</si>
  <si>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</si>
  <si>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</si>
  <si>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</si>
  <si>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</si>
  <si>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</si>
  <si>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</si>
  <si>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</si>
  <si>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</si>
  <si>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</si>
  <si>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</si>
  <si>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</si>
  <si>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</si>
  <si>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</si>
  <si>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</si>
  <si>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</si>
  <si>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</si>
  <si>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</si>
  <si>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</si>
  <si>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</si>
  <si>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</si>
  <si>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</si>
  <si>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</si>
  <si>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</si>
  <si>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</si>
  <si>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</si>
  <si>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</si>
  <si>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</si>
  <si>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</si>
  <si>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</si>
  <si>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</si>
  <si>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</si>
  <si>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</si>
  <si>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</si>
  <si>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</si>
  <si>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</si>
  <si>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</si>
  <si>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</si>
  <si>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</si>
  <si>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</si>
  <si>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</si>
  <si>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</si>
  <si>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</si>
  <si>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</si>
  <si>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</si>
  <si>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</si>
  <si>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</si>
  <si>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</si>
  <si>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</si>
  <si>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</si>
  <si>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</si>
  <si>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</si>
  <si>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</si>
  <si>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</si>
  <si>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</si>
  <si>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</si>
  <si>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</si>
  <si>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</si>
  <si>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</si>
  <si>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</si>
  <si>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</si>
  <si>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</si>
  <si>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</si>
  <si>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</si>
  <si>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</si>
  <si>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</si>
  <si>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</si>
  <si>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</si>
  <si>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</si>
  <si>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</si>
  <si>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</si>
  <si>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</si>
  <si>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</si>
  <si>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</si>
  <si>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</si>
  <si>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</si>
  <si>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</si>
  <si>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</si>
  <si>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</si>
  <si>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</si>
  <si>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</si>
  <si>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</si>
  <si>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</si>
  <si>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</si>
  <si>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</si>
  <si>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</si>
  <si>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</si>
  <si>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</si>
  <si>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</si>
  <si>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</si>
  <si>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</si>
  <si>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</si>
  <si>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</si>
  <si>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</si>
  <si>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</si>
  <si>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</si>
  <si>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</si>
  <si>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</si>
  <si>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</si>
  <si>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</si>
  <si>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</si>
  <si>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</si>
  <si>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</si>
  <si>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</si>
  <si>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</si>
  <si>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</si>
  <si>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</si>
  <si>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</si>
  <si>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</si>
  <si>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</si>
  <si>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</si>
  <si>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</si>
  <si>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</si>
  <si>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</si>
  <si>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</si>
  <si>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</si>
  <si>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</si>
  <si>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</si>
  <si>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</si>
  <si>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</si>
  <si>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</si>
  <si>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</si>
  <si>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</si>
  <si>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</si>
  <si>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</si>
  <si>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</si>
  <si>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</si>
  <si>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</si>
  <si>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</si>
  <si>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</si>
  <si>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</si>
  <si>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</si>
  <si>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</si>
  <si>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</si>
  <si>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</si>
  <si>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</si>
  <si>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</si>
  <si>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</si>
  <si>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</si>
  <si>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</si>
  <si>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</si>
  <si>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</si>
  <si>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</si>
  <si>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</si>
  <si>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</si>
  <si>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</si>
  <si>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</si>
  <si>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</si>
  <si>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</si>
  <si>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</si>
  <si>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</si>
  <si>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</si>
  <si>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</si>
  <si>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</si>
  <si>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</si>
  <si>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</si>
  <si>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</si>
  <si>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</si>
  <si>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</si>
  <si>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</si>
  <si>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</si>
  <si>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</si>
  <si>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</si>
  <si>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</si>
  <si>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</si>
  <si>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</si>
  <si>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</si>
  <si>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</si>
  <si>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</si>
  <si>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</si>
  <si>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</si>
  <si>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</si>
  <si>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</si>
  <si>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</si>
  <si>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</si>
  <si>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</si>
  <si>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</si>
  <si>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</si>
  <si>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</si>
  <si>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</si>
  <si>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</si>
  <si>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</si>
  <si>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</si>
  <si>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</si>
  <si>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</si>
  <si>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</si>
  <si>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</si>
  <si>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</si>
  <si>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</si>
  <si>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</si>
  <si>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</si>
  <si>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</si>
  <si>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</si>
  <si>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</si>
  <si>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</si>
  <si>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</si>
  <si>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</si>
  <si>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</si>
  <si>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</si>
  <si>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</si>
  <si>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</si>
  <si>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</si>
  <si>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</si>
  <si>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</si>
  <si>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</si>
  <si>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</si>
  <si>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</si>
  <si>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</si>
  <si>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</si>
  <si>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</si>
  <si>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</si>
  <si>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</si>
  <si>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</si>
  <si>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</si>
  <si>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</si>
  <si>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</si>
  <si>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</si>
  <si>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</si>
  <si>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</si>
  <si>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</si>
  <si>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</si>
  <si>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</si>
  <si>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</si>
  <si>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</si>
  <si>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</si>
  <si>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</si>
  <si>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</si>
  <si>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</si>
  <si>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</si>
  <si>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</si>
  <si>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</si>
  <si>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</si>
  <si>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</si>
  <si>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</si>
  <si>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</si>
  <si>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</si>
  <si>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</si>
  <si>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</si>
  <si>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</si>
  <si>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</si>
  <si>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</si>
  <si>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</si>
  <si>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</si>
  <si>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</si>
  <si>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</si>
  <si>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</si>
  <si>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</si>
  <si>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</si>
  <si>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</si>
  <si>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</si>
  <si>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</si>
  <si>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</si>
  <si>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</si>
  <si>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</si>
  <si>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</si>
  <si>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</si>
  <si>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</si>
  <si>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</si>
  <si>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</si>
  <si>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</si>
  <si>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</si>
  <si>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</si>
  <si>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</si>
  <si>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</si>
  <si>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</si>
  <si>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</si>
  <si>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</si>
  <si>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</si>
  <si>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</si>
  <si>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</si>
  <si>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</si>
  <si>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</si>
  <si>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</si>
  <si>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</si>
  <si>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</si>
  <si>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</si>
  <si>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</si>
  <si>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</si>
  <si>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</si>
  <si>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</si>
  <si>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</si>
  <si>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</si>
  <si>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</si>
  <si>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</si>
  <si>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</si>
  <si>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</si>
  <si>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</si>
  <si>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</si>
  <si>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</si>
  <si>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</si>
  <si>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</si>
  <si>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</si>
  <si>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</si>
  <si>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</si>
  <si>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</si>
  <si>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</si>
  <si>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</si>
  <si>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</si>
  <si>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</si>
  <si>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</si>
  <si>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</si>
  <si>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</si>
  <si>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</si>
  <si>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</si>
  <si>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</si>
  <si>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</si>
  <si>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</si>
  <si>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</si>
  <si>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</si>
  <si>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</si>
  <si>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</si>
  <si>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</si>
  <si>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</si>
  <si>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</si>
  <si>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</si>
  <si>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</si>
  <si>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</si>
  <si>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</si>
  <si>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</si>
  <si>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</si>
  <si>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</si>
  <si>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</si>
  <si>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</si>
  <si>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</si>
  <si>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</si>
  <si>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</si>
  <si>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</si>
  <si>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</si>
  <si>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</si>
  <si>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</si>
  <si>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</si>
  <si>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</si>
  <si>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</si>
  <si>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</si>
  <si>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</si>
  <si>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</si>
  <si>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</si>
  <si>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</si>
  <si>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</si>
  <si>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</si>
  <si>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</si>
  <si>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</si>
  <si>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</si>
  <si>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</si>
  <si>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</si>
  <si>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</si>
  <si>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</si>
  <si>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</si>
  <si>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</si>
  <si>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</si>
  <si>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</si>
  <si>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</si>
  <si>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</si>
  <si>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</si>
  <si>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</si>
  <si>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</si>
  <si>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</si>
  <si>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</si>
  <si>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</si>
  <si>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</si>
  <si>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</si>
  <si>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</si>
  <si>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</si>
  <si>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</si>
  <si>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</si>
  <si>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</si>
  <si>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</si>
  <si>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</si>
  <si>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</si>
  <si>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</si>
  <si>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</si>
  <si>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</si>
  <si>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</si>
  <si>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</si>
  <si>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</si>
  <si>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</si>
  <si>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</si>
  <si>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</si>
  <si>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</si>
  <si>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</si>
  <si>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</si>
  <si>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</si>
  <si>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</si>
  <si>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</si>
  <si>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</si>
  <si>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</si>
  <si>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</si>
  <si>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</si>
  <si>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</si>
  <si>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</si>
  <si>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</si>
  <si>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</si>
  <si>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</si>
  <si>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</si>
  <si>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</si>
  <si>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</si>
  <si>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</si>
  <si>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</si>
  <si>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</si>
  <si>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</si>
  <si>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</si>
  <si>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</si>
  <si>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</si>
  <si>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</si>
  <si>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</si>
  <si>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</si>
  <si>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</si>
  <si>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</si>
  <si>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</si>
  <si>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</si>
  <si>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</si>
  <si>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</si>
  <si>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</si>
  <si>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</si>
  <si>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</si>
  <si>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</si>
  <si>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</si>
  <si>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</si>
  <si>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</si>
  <si>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</si>
  <si>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</si>
  <si>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</si>
  <si>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</si>
  <si>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</si>
  <si>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</si>
  <si>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</si>
  <si>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</si>
  <si>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</si>
  <si>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</si>
  <si>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</si>
  <si>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</si>
  <si>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</si>
  <si>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</si>
  <si>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</si>
  <si>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</si>
  <si>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</si>
  <si>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</si>
  <si>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</si>
  <si>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</si>
  <si>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</si>
  <si>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</si>
  <si>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</si>
  <si>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</si>
  <si>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</si>
  <si>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</si>
  <si>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</si>
  <si>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</si>
  <si>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</si>
  <si>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</si>
  <si>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</si>
  <si>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</si>
  <si>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</si>
  <si>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</si>
  <si>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</si>
  <si>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</si>
  <si>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</si>
  <si>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</si>
  <si>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</si>
  <si>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</si>
  <si>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</si>
  <si>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</si>
  <si>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</si>
  <si>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</si>
  <si>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</si>
  <si>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</si>
  <si>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</si>
  <si>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</si>
  <si>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</si>
  <si>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</si>
  <si>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</si>
  <si>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</si>
  <si>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</si>
  <si>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</si>
  <si>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</si>
  <si>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</si>
  <si>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</si>
  <si>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</si>
  <si>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</si>
  <si>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</si>
  <si>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</si>
  <si>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</si>
  <si>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</si>
  <si>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</si>
  <si>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</si>
  <si>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</si>
  <si>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</si>
  <si>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</si>
  <si>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</si>
  <si>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</si>
  <si>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</si>
  <si>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</si>
  <si>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</si>
  <si>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</si>
  <si>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</si>
  <si>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</si>
  <si>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</si>
  <si>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</si>
  <si>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</si>
  <si>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</si>
  <si>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</si>
  <si>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</si>
  <si>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</si>
  <si>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</si>
  <si>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</si>
  <si>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</si>
  <si>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</si>
  <si>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</si>
  <si>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</si>
  <si>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</si>
  <si>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</si>
  <si>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</si>
  <si>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</si>
  <si>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</si>
  <si>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</si>
  <si>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</si>
  <si>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</si>
  <si>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</si>
  <si>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</si>
  <si>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</si>
  <si>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</si>
  <si>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</si>
  <si>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</si>
  <si>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</si>
  <si>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</si>
  <si>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</si>
  <si>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</si>
  <si>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</si>
  <si>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</si>
  <si>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</si>
  <si>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</si>
  <si>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</si>
  <si>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</si>
  <si>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</si>
  <si>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</si>
  <si>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</si>
  <si>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</si>
  <si>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</si>
  <si>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</si>
  <si>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</si>
  <si>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</si>
  <si>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</si>
  <si>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</si>
  <si>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</si>
  <si>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</si>
  <si>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</si>
  <si>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</si>
  <si>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</si>
  <si>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</si>
  <si>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</si>
  <si>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</si>
  <si>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</si>
  <si>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</si>
  <si>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</si>
  <si>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</si>
  <si>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</si>
  <si>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</si>
  <si>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</si>
  <si>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</si>
  <si>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</si>
  <si>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</si>
  <si>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</si>
  <si>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</si>
  <si>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</si>
  <si>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</si>
  <si>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</si>
  <si>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</si>
  <si>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</si>
  <si>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</si>
  <si>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</si>
  <si>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</si>
  <si>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</si>
  <si>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</si>
  <si>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</si>
  <si>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</si>
  <si>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</si>
  <si>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</si>
  <si>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</si>
  <si>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</si>
  <si>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</si>
  <si>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</si>
  <si>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</si>
  <si>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</si>
  <si>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</si>
  <si>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</si>
  <si>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</si>
  <si>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</si>
  <si>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</si>
  <si>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</si>
  <si>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</si>
  <si>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</si>
  <si>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</si>
  <si>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</si>
  <si>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</si>
  <si>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</si>
  <si>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</si>
  <si>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</si>
  <si>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</si>
  <si>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</si>
  <si>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</si>
  <si>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</si>
  <si>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</si>
  <si>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</si>
  <si>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</si>
  <si>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</si>
  <si>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</si>
  <si>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</si>
  <si>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</si>
  <si>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</si>
  <si>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</si>
  <si>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</si>
  <si>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</si>
  <si>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</si>
  <si>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</si>
  <si>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</si>
  <si>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</si>
  <si>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</si>
  <si>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</si>
  <si>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</si>
  <si>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</si>
  <si>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</si>
  <si>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</si>
  <si>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</si>
  <si>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</si>
  <si>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</si>
  <si>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</si>
  <si>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</si>
  <si>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</si>
  <si>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</si>
  <si>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</si>
  <si>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</si>
  <si>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</si>
  <si>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</si>
  <si>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</si>
  <si>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</si>
  <si>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</si>
  <si>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</si>
  <si>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</si>
  <si>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</si>
  <si>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</si>
  <si>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</si>
  <si>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</si>
  <si>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</si>
  <si>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</si>
  <si>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</si>
  <si>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</si>
  <si>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</si>
  <si>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</si>
  <si>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</si>
  <si>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</si>
  <si>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</si>
  <si>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</si>
  <si>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</si>
  <si>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</si>
  <si>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</si>
  <si>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</si>
  <si>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</si>
  <si>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</si>
  <si>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</si>
  <si>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</si>
  <si>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</si>
  <si>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</si>
  <si>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</si>
  <si>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</si>
  <si>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</si>
  <si>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</si>
  <si>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</si>
  <si>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</si>
  <si>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</si>
  <si>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</si>
  <si>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</si>
  <si>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</si>
  <si>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</si>
  <si>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</si>
  <si>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</si>
  <si>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</si>
  <si>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</si>
  <si>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</si>
  <si>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</si>
  <si>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</si>
  <si>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</si>
  <si>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</si>
  <si>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</si>
  <si>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</si>
  <si>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</si>
  <si>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</si>
  <si>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</si>
  <si>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</si>
  <si>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</si>
  <si>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</si>
  <si>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</si>
  <si>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</si>
  <si>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</si>
  <si>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</si>
  <si>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</si>
  <si>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</si>
  <si>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</si>
  <si>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</si>
  <si>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</si>
  <si>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</si>
  <si>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</si>
  <si>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</si>
  <si>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</si>
  <si>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</si>
  <si>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</si>
  <si>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</si>
  <si>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</si>
  <si>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</si>
  <si>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</si>
  <si>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</si>
  <si>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</si>
  <si>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</si>
  <si>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</si>
  <si>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</si>
  <si>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</si>
  <si>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</si>
  <si>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</si>
  <si>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</si>
  <si>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</si>
  <si>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</si>
  <si>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</si>
  <si>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</si>
  <si>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</si>
  <si>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</si>
  <si>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</si>
  <si>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</si>
  <si>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</si>
  <si>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</si>
  <si>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</si>
  <si>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</si>
  <si>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</si>
  <si>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</si>
  <si>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</si>
  <si>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</si>
  <si>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</si>
  <si>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</si>
  <si>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</si>
  <si>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</si>
  <si>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</si>
  <si>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</si>
  <si>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</si>
  <si>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</si>
  <si>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</si>
  <si>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</si>
  <si>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</si>
  <si>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</si>
  <si>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</si>
  <si>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</si>
  <si>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</si>
  <si>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</si>
  <si>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</si>
  <si>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</si>
  <si>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</si>
  <si>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</si>
  <si>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</si>
  <si>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</si>
  <si>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</si>
  <si>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</si>
  <si>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</si>
  <si>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</si>
  <si>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</si>
  <si>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</si>
  <si>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</si>
  <si>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</si>
  <si>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</si>
  <si>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</si>
  <si>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</si>
  <si>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</si>
  <si>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</si>
  <si>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</si>
  <si>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</si>
  <si>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</si>
  <si>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</si>
  <si>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</si>
  <si>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</si>
  <si>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</si>
  <si>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</si>
  <si>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</si>
  <si>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</si>
  <si>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</si>
  <si>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</si>
  <si>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</si>
  <si>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</si>
  <si>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</si>
  <si>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</si>
  <si>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</si>
  <si>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</si>
  <si>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</si>
  <si>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</si>
  <si>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</si>
  <si>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</si>
  <si>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</si>
  <si>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</si>
  <si>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</si>
  <si>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</si>
  <si>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</si>
  <si>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</si>
  <si>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</si>
  <si>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</si>
  <si>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</si>
  <si>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</si>
  <si>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</si>
  <si>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</si>
  <si>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</si>
  <si>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</si>
  <si>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</si>
  <si>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</si>
  <si>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</si>
  <si>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</si>
  <si>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</si>
  <si>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</si>
  <si>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</si>
  <si>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</si>
  <si>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</si>
  <si>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</si>
  <si>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</si>
  <si>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</si>
  <si>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</si>
  <si>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</si>
  <si>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</si>
  <si>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</si>
  <si>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</si>
  <si>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</si>
  <si>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</si>
  <si>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</si>
  <si>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</si>
  <si>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</si>
  <si>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</si>
  <si>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</si>
  <si>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</si>
  <si>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</si>
  <si>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</si>
  <si>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</si>
  <si>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</si>
  <si>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</si>
  <si>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</si>
  <si>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</si>
  <si>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</si>
  <si>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</si>
  <si>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</si>
  <si>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</si>
  <si>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</si>
  <si>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</si>
  <si>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</si>
  <si>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</si>
  <si>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</si>
  <si>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</si>
  <si>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</si>
  <si>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</si>
  <si>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</si>
  <si>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</si>
  <si>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</si>
  <si>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</si>
  <si>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</si>
  <si>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</si>
  <si>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</si>
  <si>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</si>
  <si>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</si>
  <si>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</si>
  <si>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</si>
  <si>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</si>
  <si>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</si>
  <si>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</si>
  <si>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</si>
  <si>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</si>
  <si>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</si>
  <si>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</si>
  <si>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</si>
  <si>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</si>
  <si>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</si>
  <si>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</si>
  <si>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</si>
  <si>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</si>
  <si>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</si>
  <si>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</si>
  <si>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</si>
  <si>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</si>
  <si>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</si>
  <si>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</si>
  <si>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</si>
  <si>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</si>
  <si>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</si>
  <si>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</si>
  <si>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</si>
  <si>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</si>
  <si>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</si>
  <si>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</si>
  <si>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</si>
  <si>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</si>
  <si>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</si>
  <si>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</si>
  <si>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</si>
  <si>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</si>
  <si>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</si>
  <si>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</si>
  <si>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</si>
  <si>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</si>
  <si>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</si>
  <si>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</si>
  <si>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</si>
  <si>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</si>
  <si>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</si>
  <si>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</si>
  <si>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</si>
  <si>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</si>
  <si>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</si>
  <si>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</si>
  <si>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</si>
  <si>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</si>
  <si>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</si>
  <si>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</si>
  <si>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</si>
  <si>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</si>
  <si>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</si>
  <si>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</si>
  <si>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</si>
  <si>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</si>
  <si>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</si>
  <si>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</si>
  <si>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</si>
  <si>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</si>
  <si>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</si>
  <si>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</si>
  <si>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</si>
  <si>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</si>
  <si>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</si>
  <si>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</si>
  <si>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</si>
  <si>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</si>
  <si>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</si>
  <si>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</si>
  <si>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</si>
  <si>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</si>
  <si>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</si>
  <si>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</si>
  <si>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</si>
  <si>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</si>
  <si>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</si>
  <si>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</si>
  <si>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</si>
  <si>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</si>
  <si>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</si>
  <si>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</si>
  <si>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</si>
  <si>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</si>
  <si>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</si>
  <si>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</si>
  <si>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</si>
  <si>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</si>
  <si>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</si>
  <si>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</si>
  <si>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</si>
  <si>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</si>
  <si>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</si>
  <si>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</si>
  <si>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</si>
  <si>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</si>
  <si>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</si>
  <si>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</si>
  <si>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</si>
  <si>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</si>
  <si>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</si>
  <si>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</si>
  <si>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</si>
  <si>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</si>
  <si>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</si>
  <si>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</si>
  <si>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</si>
  <si>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</si>
  <si>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</si>
  <si>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</si>
  <si>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</si>
  <si>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</si>
  <si>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</si>
  <si>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</si>
  <si>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</si>
  <si>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</si>
  <si>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</si>
  <si>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</si>
  <si>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</si>
  <si>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</si>
  <si>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</si>
  <si>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</si>
  <si>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</si>
  <si>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</si>
  <si>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</si>
  <si>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</si>
  <si>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</si>
  <si>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</si>
  <si>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</si>
  <si>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</si>
  <si>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</si>
  <si>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</si>
  <si>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</si>
  <si>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</si>
  <si>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</si>
  <si>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</si>
  <si>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</si>
  <si>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</si>
  <si>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</si>
  <si>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</si>
  <si>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</si>
  <si>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</si>
  <si>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</si>
  <si>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</si>
  <si>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</si>
  <si>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</si>
  <si>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</si>
  <si>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</si>
  <si>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</si>
  <si>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</si>
  <si>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</si>
  <si>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</si>
  <si>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</si>
  <si>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</si>
  <si>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</si>
  <si>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</si>
  <si>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</si>
  <si>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</si>
  <si>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</si>
  <si>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</si>
  <si>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</si>
  <si>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</si>
  <si>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</si>
  <si>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</si>
  <si>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</si>
  <si>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</si>
  <si>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</si>
  <si>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</si>
  <si>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</si>
  <si>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</si>
  <si>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</si>
  <si>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</si>
  <si>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</si>
  <si>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</si>
  <si>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</si>
  <si>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</si>
  <si>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</si>
  <si>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</si>
  <si>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</si>
  <si>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</si>
  <si>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</si>
  <si>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</si>
  <si>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</si>
  <si>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</si>
  <si>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</si>
  <si>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</si>
  <si>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</si>
  <si>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</si>
  <si>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</si>
  <si>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</si>
  <si>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</si>
  <si>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</si>
  <si>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</si>
  <si>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</si>
  <si>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</si>
  <si>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</si>
  <si>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</si>
  <si>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</si>
  <si>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</si>
  <si>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</si>
  <si>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</si>
  <si>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</si>
  <si>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</si>
  <si>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</si>
  <si>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</si>
  <si>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</si>
  <si>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</si>
  <si>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</si>
  <si>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</si>
  <si>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</si>
  <si>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</si>
  <si>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</si>
  <si>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</si>
  <si>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</si>
  <si>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</si>
  <si>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</si>
  <si>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</si>
  <si>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</si>
  <si>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</si>
  <si>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</si>
  <si>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</si>
  <si>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</si>
  <si>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</si>
  <si>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</si>
  <si>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</si>
  <si>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</si>
  <si>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</si>
  <si>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</si>
  <si>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</si>
  <si>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</si>
  <si>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</si>
  <si>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</si>
  <si>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</si>
  <si>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</si>
  <si>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</si>
  <si>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</si>
  <si>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</si>
  <si>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</si>
  <si>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</si>
  <si>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</si>
  <si>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</si>
  <si>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</si>
  <si>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</si>
  <si>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</si>
  <si>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</si>
  <si>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</si>
  <si>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</si>
  <si>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</si>
  <si>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</si>
  <si>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</si>
  <si>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</si>
  <si>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</si>
  <si>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</si>
  <si>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</si>
  <si>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</si>
  <si>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</si>
  <si>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</si>
  <si>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</si>
  <si>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</si>
  <si>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</si>
  <si>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</si>
  <si>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</si>
  <si>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</si>
  <si>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</si>
  <si>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</si>
  <si>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</si>
  <si>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</si>
  <si>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</si>
  <si>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</si>
  <si>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</si>
  <si>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</si>
  <si>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</si>
  <si>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</si>
  <si>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</si>
  <si>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</si>
  <si>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</si>
  <si>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</si>
  <si>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</si>
  <si>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</si>
  <si>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</si>
  <si>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</si>
  <si>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</si>
  <si>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</si>
  <si>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</si>
  <si>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</si>
  <si>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</si>
  <si>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</si>
  <si>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</si>
  <si>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</si>
  <si>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</si>
  <si>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</si>
  <si>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</si>
  <si>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</si>
  <si>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</si>
  <si>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</si>
  <si>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</si>
  <si>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</si>
  <si>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</si>
  <si>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</si>
  <si>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</si>
  <si>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</si>
  <si>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</si>
  <si>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</si>
  <si>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</si>
  <si>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</si>
  <si>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</si>
  <si>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</si>
  <si>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</si>
  <si>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</si>
  <si>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</si>
  <si>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</si>
  <si>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</si>
  <si>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</si>
  <si>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</si>
  <si>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</si>
  <si>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</si>
  <si>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</si>
  <si>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</si>
  <si>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</si>
  <si>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</si>
  <si>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</si>
  <si>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</si>
  <si>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</si>
  <si>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</si>
  <si>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</si>
  <si>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</si>
  <si>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</si>
  <si>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</si>
  <si>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</si>
  <si>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</si>
  <si>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</si>
  <si>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</si>
  <si>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</si>
  <si>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</si>
  <si>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</si>
  <si>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</si>
  <si>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</si>
  <si>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</si>
  <si>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</si>
  <si>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</si>
  <si>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</si>
  <si>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</si>
  <si>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</si>
  <si>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</si>
  <si>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</si>
  <si>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</si>
  <si>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</si>
  <si>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</si>
  <si>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</si>
  <si>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</si>
  <si>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</si>
  <si>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</si>
  <si>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</si>
  <si>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</si>
  <si>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</si>
  <si>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</si>
  <si>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</si>
  <si>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</si>
  <si>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</si>
  <si>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</si>
  <si>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</si>
  <si>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</si>
  <si>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</si>
  <si>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</si>
  <si>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</si>
  <si>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</si>
  <si>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</si>
  <si>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</si>
  <si>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</si>
  <si>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</si>
  <si>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</si>
  <si>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</si>
  <si>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</si>
  <si>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</si>
  <si>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</si>
  <si>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</si>
  <si>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</si>
  <si>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</si>
  <si>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</si>
  <si>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</si>
  <si>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</si>
  <si>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</si>
  <si>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</si>
  <si>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</si>
  <si>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</si>
  <si>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</si>
  <si>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</si>
  <si>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</si>
  <si>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</si>
  <si>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</si>
  <si>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</si>
  <si>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</si>
  <si>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</si>
  <si>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</si>
  <si>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</si>
  <si>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</si>
  <si>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</si>
  <si>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</si>
  <si>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</si>
  <si>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</si>
  <si>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</si>
  <si>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</si>
  <si>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</si>
  <si>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</si>
  <si>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</si>
  <si>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</si>
  <si>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</si>
  <si>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</si>
  <si>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</si>
  <si>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</si>
  <si>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</si>
  <si>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</si>
  <si>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</si>
  <si>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</si>
  <si>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</si>
  <si>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</si>
  <si>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</si>
  <si>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</si>
  <si>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</si>
  <si>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</si>
  <si>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</si>
  <si>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</si>
  <si>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</si>
  <si>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</si>
  <si>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</si>
  <si>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</si>
  <si>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</si>
  <si>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</si>
  <si>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</si>
  <si>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</si>
  <si>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</si>
  <si>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</si>
  <si>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</si>
  <si>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</si>
  <si>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</si>
  <si>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</si>
  <si>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</si>
  <si>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</si>
  <si>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</si>
  <si>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</si>
  <si>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</si>
  <si>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</si>
  <si>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</si>
  <si>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</si>
  <si>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</si>
  <si>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</si>
  <si>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</si>
  <si>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</si>
  <si>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</si>
  <si>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</si>
  <si>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</si>
  <si>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</si>
  <si>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</si>
  <si>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</si>
  <si>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</si>
  <si>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</si>
  <si>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</si>
  <si>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</si>
  <si>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</si>
  <si>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</si>
  <si>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</si>
  <si>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</si>
  <si>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</si>
  <si>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</si>
  <si>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</si>
  <si>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</si>
  <si>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</si>
  <si>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</si>
  <si>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</si>
  <si>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</si>
  <si>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</si>
  <si>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</si>
  <si>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</si>
  <si>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</si>
  <si>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</si>
  <si>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</si>
  <si>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</si>
  <si>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</si>
  <si>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</si>
  <si>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</si>
  <si>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</si>
  <si>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</si>
  <si>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</si>
  <si>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</si>
  <si>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</si>
  <si>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</si>
  <si>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</si>
  <si>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</si>
  <si>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</si>
  <si>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</si>
  <si>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</si>
  <si>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</si>
  <si>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</si>
  <si>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</si>
  <si>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</si>
  <si>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</si>
  <si>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</si>
  <si>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</si>
  <si>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</si>
  <si>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</si>
  <si>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</si>
  <si>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</si>
  <si>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</si>
  <si>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</si>
  <si>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</si>
  <si>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</si>
  <si>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</si>
  <si>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</si>
  <si>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</si>
  <si>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</si>
  <si>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</si>
  <si>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</si>
  <si>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</si>
  <si>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</si>
  <si>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</si>
  <si>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</si>
  <si>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</si>
  <si>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</si>
  <si>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</si>
  <si>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</si>
  <si>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</si>
  <si>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</si>
  <si>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</si>
  <si>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</si>
  <si>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</si>
  <si>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</si>
  <si>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</si>
  <si>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</si>
  <si>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</si>
  <si>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</si>
  <si>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</si>
  <si>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</si>
  <si>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</si>
  <si>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</si>
  <si>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</si>
  <si>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</si>
  <si>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</si>
  <si>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</si>
  <si>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</si>
  <si>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</si>
  <si>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</si>
  <si>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</si>
  <si>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</si>
  <si>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</si>
  <si>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</si>
  <si>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</si>
  <si>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</si>
  <si>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</si>
  <si>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</si>
  <si>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</si>
  <si>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</si>
  <si>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</si>
  <si>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</si>
  <si>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</si>
  <si>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</si>
  <si>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</si>
  <si>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</si>
  <si>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</si>
  <si>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</si>
  <si>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</si>
  <si>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</si>
  <si>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</si>
  <si>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</si>
  <si>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</si>
  <si>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</si>
  <si>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</si>
  <si>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</si>
  <si>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</si>
  <si>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</si>
  <si>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</si>
  <si>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</si>
  <si>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</si>
  <si>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</si>
  <si>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</si>
  <si>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</si>
  <si>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</si>
  <si>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</si>
  <si>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</si>
  <si>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</si>
  <si>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</si>
  <si>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</si>
  <si>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</si>
  <si>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</si>
  <si>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</si>
  <si>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</si>
  <si>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</si>
  <si>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</si>
  <si>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</si>
  <si>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</si>
  <si>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</si>
  <si>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</si>
  <si>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</si>
  <si>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</si>
  <si>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</si>
  <si>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</si>
  <si>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</si>
  <si>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</si>
  <si>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</si>
  <si>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</si>
  <si>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</si>
  <si>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</si>
  <si>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</si>
  <si>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</si>
  <si>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</si>
  <si>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</si>
  <si>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</si>
  <si>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</si>
  <si>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</si>
  <si>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</si>
  <si>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</si>
  <si>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</si>
  <si>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</si>
  <si>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</si>
  <si>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</si>
  <si>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</si>
  <si>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</si>
  <si>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</si>
  <si>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</si>
  <si>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</si>
  <si>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</si>
  <si>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</si>
  <si>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</si>
  <si>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</si>
  <si>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</si>
  <si>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</si>
  <si>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</si>
  <si>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</si>
  <si>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</si>
  <si>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</si>
  <si>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</si>
  <si>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</si>
  <si>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</si>
  <si>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</si>
  <si>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</si>
  <si>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</si>
  <si>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</si>
  <si>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</si>
  <si>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</si>
  <si>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</si>
  <si>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</si>
  <si>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</si>
  <si>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</si>
  <si>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</si>
  <si>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</si>
  <si>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</si>
  <si>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</si>
  <si>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</si>
  <si>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</si>
  <si>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</si>
  <si>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</si>
  <si>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</si>
  <si>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</si>
  <si>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</si>
  <si>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</si>
  <si>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</si>
  <si>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</si>
  <si>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</si>
  <si>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</si>
  <si>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</si>
  <si>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</si>
  <si>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</si>
  <si>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</si>
  <si>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</si>
  <si>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</si>
  <si>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</si>
  <si>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</si>
  <si>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</si>
  <si>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</si>
  <si>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</si>
  <si>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</si>
  <si>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</si>
  <si>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</si>
  <si>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</si>
  <si>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</si>
  <si>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</si>
  <si>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</si>
  <si>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</si>
  <si>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</si>
  <si>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</si>
  <si>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</si>
  <si>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</si>
  <si>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</si>
  <si>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</si>
  <si>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</si>
  <si>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</si>
  <si>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</si>
  <si>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</si>
  <si>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</si>
  <si>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</si>
  <si>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</si>
  <si>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</si>
  <si>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</si>
  <si>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</si>
  <si>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</si>
  <si>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</si>
  <si>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</si>
  <si>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</si>
  <si>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</si>
  <si>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</si>
  <si>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</si>
  <si>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</si>
  <si>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</si>
  <si>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</si>
  <si>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</si>
  <si>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</si>
  <si>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</si>
  <si>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</si>
  <si>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</si>
  <si>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</si>
  <si>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</si>
  <si>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</si>
  <si>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</si>
  <si>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</si>
  <si>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</si>
  <si>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</si>
  <si>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</si>
  <si>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</si>
  <si>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</si>
  <si>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</si>
  <si>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</si>
  <si>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</si>
  <si>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</si>
  <si>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</si>
  <si>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</si>
  <si>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</si>
  <si>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</si>
  <si>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</si>
  <si>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</si>
  <si>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</si>
  <si>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</si>
  <si>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</si>
  <si>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</si>
  <si>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</si>
  <si>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</si>
  <si>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</si>
  <si>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</si>
  <si>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</si>
  <si>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</si>
  <si>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</si>
  <si>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</si>
  <si>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</si>
  <si>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</si>
  <si>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</si>
  <si>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</si>
  <si>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</si>
  <si>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</si>
  <si>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</si>
  <si>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</si>
  <si>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</si>
  <si>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</si>
  <si>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</si>
  <si>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</si>
  <si>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</si>
  <si>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</si>
  <si>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</si>
  <si>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</si>
  <si>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</si>
  <si>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</si>
  <si>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</si>
  <si>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</si>
  <si>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</si>
  <si>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</si>
  <si>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</si>
  <si>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</si>
  <si>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</si>
  <si>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</si>
  <si>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</si>
  <si>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</si>
  <si>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</si>
  <si>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</si>
  <si>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</si>
  <si>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</si>
  <si>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</si>
  <si>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</si>
  <si>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</si>
  <si>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</si>
  <si>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</si>
  <si>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</si>
  <si>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</si>
  <si>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</si>
  <si>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</si>
  <si>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</si>
  <si>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</si>
  <si>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</si>
  <si>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</si>
  <si>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</si>
  <si>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</si>
  <si>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</si>
  <si>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</si>
  <si>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</si>
  <si>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</si>
  <si>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</si>
  <si>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</si>
  <si>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</si>
  <si>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</si>
  <si>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</si>
  <si>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</si>
  <si>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</si>
  <si>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</si>
  <si>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</si>
  <si>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</si>
  <si>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</si>
  <si>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</si>
  <si>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</si>
  <si>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</si>
  <si>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</si>
  <si>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</si>
  <si>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</si>
  <si>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</si>
  <si>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</si>
  <si>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</si>
  <si>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</si>
  <si>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</si>
  <si>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</si>
  <si>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</si>
  <si>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</si>
  <si>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</si>
  <si>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</si>
  <si>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</si>
  <si>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</si>
  <si>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</si>
  <si>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</si>
  <si>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</si>
  <si>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</si>
  <si>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</si>
  <si>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</si>
  <si>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</si>
  <si>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</si>
  <si>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</si>
  <si>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</si>
  <si>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</si>
  <si>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</si>
  <si>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</si>
  <si>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</si>
  <si>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</si>
  <si>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</si>
  <si>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</si>
  <si>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</si>
  <si>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</si>
  <si>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</si>
  <si>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</si>
  <si>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</si>
  <si>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</si>
  <si>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</si>
  <si>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</si>
  <si>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</si>
  <si>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</si>
  <si>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</si>
  <si>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</si>
  <si>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</si>
  <si>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</si>
  <si>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</si>
  <si>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</si>
  <si>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</si>
  <si>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</si>
  <si>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</si>
  <si>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</si>
  <si>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</si>
  <si>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</si>
  <si>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</si>
  <si>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</si>
  <si>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</si>
  <si>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</si>
  <si>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</si>
  <si>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</si>
  <si>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</si>
  <si>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</si>
  <si>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</si>
  <si>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</si>
  <si>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</si>
  <si>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</si>
  <si>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</si>
  <si>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</si>
  <si>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</si>
  <si>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</si>
  <si>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</si>
  <si>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</si>
  <si>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</si>
  <si>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</si>
  <si>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</si>
  <si>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</si>
  <si>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</si>
  <si>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</si>
  <si>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</si>
  <si>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</si>
  <si>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</si>
  <si>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</si>
  <si>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</si>
  <si>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</si>
  <si>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</si>
  <si>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</si>
  <si>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</si>
  <si>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</si>
  <si>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</si>
  <si>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</si>
  <si>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</si>
  <si>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</si>
  <si>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</si>
  <si>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</si>
  <si>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</si>
  <si>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</si>
  <si>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</si>
  <si>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</si>
  <si>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</si>
  <si>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</si>
  <si>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</si>
  <si>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</si>
  <si>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</si>
  <si>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</si>
  <si>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</si>
  <si>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</si>
  <si>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</si>
  <si>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</si>
  <si>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</si>
  <si>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</si>
  <si>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</si>
  <si>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</si>
  <si>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</si>
  <si>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</si>
  <si>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</si>
  <si>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</si>
  <si>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</si>
  <si>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</si>
  <si>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</si>
  <si>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</si>
  <si>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</si>
  <si>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</si>
  <si>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</si>
  <si>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</si>
  <si>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</si>
  <si>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</si>
  <si>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</si>
  <si>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</si>
  <si>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</si>
  <si>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</si>
  <si>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</si>
  <si>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</si>
  <si>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</si>
  <si>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</si>
  <si>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</si>
  <si>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</si>
  <si>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</si>
  <si>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</si>
  <si>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</si>
  <si>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</si>
  <si>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</si>
  <si>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</si>
  <si>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</si>
  <si>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</si>
  <si>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</si>
  <si>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</si>
  <si>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</si>
  <si>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</si>
  <si>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</si>
  <si>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</si>
  <si>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</si>
  <si>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</si>
  <si>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</si>
  <si>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</si>
  <si>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</si>
  <si>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</si>
  <si>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</si>
  <si>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</si>
  <si>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</si>
  <si>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</si>
  <si>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</si>
  <si>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</si>
  <si>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</si>
  <si>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</si>
  <si>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</si>
  <si>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</si>
  <si>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</si>
  <si>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</si>
  <si>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</si>
  <si>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</si>
  <si>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</si>
  <si>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</si>
  <si>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</si>
  <si>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</si>
  <si>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</si>
  <si>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</si>
  <si>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</si>
  <si>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</si>
  <si>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</si>
  <si>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</si>
  <si>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</si>
  <si>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</si>
  <si>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</si>
  <si>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</si>
  <si>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</si>
  <si>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</si>
  <si>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</si>
  <si>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</si>
  <si>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</si>
  <si>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</si>
  <si>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</si>
  <si>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</si>
  <si>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</si>
  <si>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</si>
  <si>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</si>
  <si>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</si>
  <si>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</si>
  <si>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</si>
  <si>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</si>
  <si>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</si>
  <si>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</si>
  <si>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</si>
  <si>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</si>
  <si>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</si>
  <si>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</si>
  <si>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</si>
  <si>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</si>
  <si>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</si>
  <si>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</si>
  <si>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</si>
  <si>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</si>
  <si>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</si>
  <si>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</si>
  <si>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</si>
  <si>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</si>
  <si>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</si>
  <si>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</si>
  <si>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</si>
  <si>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</si>
  <si>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</si>
  <si>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</si>
  <si>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</si>
  <si>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</si>
  <si>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</si>
  <si>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</si>
  <si>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</si>
  <si>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</si>
  <si>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</si>
  <si>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</si>
  <si>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</si>
  <si>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</si>
  <si>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</si>
  <si>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</si>
  <si>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</si>
  <si>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</si>
  <si>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</si>
  <si>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</si>
  <si>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</si>
  <si>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</si>
  <si>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</si>
  <si>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</si>
  <si>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</si>
  <si>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</si>
  <si>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</si>
  <si>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</si>
  <si>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</si>
  <si>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</si>
  <si>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</si>
  <si>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</si>
  <si>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</si>
  <si>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</si>
  <si>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</si>
  <si>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</si>
  <si>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</si>
  <si>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</si>
  <si>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</si>
  <si>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</si>
  <si>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</si>
  <si>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</si>
  <si>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</si>
  <si>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</si>
  <si>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</si>
  <si>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</si>
  <si>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</si>
  <si>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</si>
  <si>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</si>
  <si>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</si>
  <si>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</si>
  <si>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</si>
  <si>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</si>
  <si>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</si>
  <si>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</si>
  <si>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</si>
  <si>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</si>
  <si>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</si>
  <si>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</si>
  <si>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</si>
  <si>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</si>
  <si>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</si>
  <si>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</si>
  <si>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</si>
  <si>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</si>
  <si>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</si>
  <si>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</si>
  <si>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</si>
  <si>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</si>
  <si>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</si>
  <si>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</si>
  <si>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</si>
  <si>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</si>
  <si>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</si>
  <si>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</si>
  <si>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</si>
  <si>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</si>
  <si>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</si>
  <si>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</si>
  <si>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</si>
  <si>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</si>
  <si>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</si>
  <si>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</si>
  <si>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</si>
  <si>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</si>
  <si>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</si>
  <si>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</si>
  <si>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</si>
  <si>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</si>
  <si>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</si>
  <si>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</si>
  <si>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</si>
  <si>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</si>
  <si>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</si>
  <si>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</si>
  <si>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</si>
  <si>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</si>
  <si>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</si>
  <si>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</si>
  <si>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</si>
  <si>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</si>
  <si>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</si>
  <si>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</si>
  <si>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</si>
  <si>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</si>
  <si>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</si>
  <si>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</si>
  <si>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</si>
  <si>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</si>
  <si>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</si>
  <si>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</si>
  <si>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</si>
  <si>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</si>
  <si>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</si>
  <si>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</si>
  <si>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</si>
  <si>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</si>
  <si>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</si>
  <si>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</si>
  <si>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</si>
  <si>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</si>
  <si>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</si>
  <si>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</si>
  <si>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</si>
  <si>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</si>
  <si>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</si>
  <si>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</si>
  <si>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</si>
  <si>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</si>
  <si>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</si>
  <si>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</si>
  <si>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</si>
  <si>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</si>
  <si>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</si>
  <si>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</si>
  <si>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</si>
  <si>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</si>
  <si>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</si>
  <si>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</si>
  <si>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</si>
  <si>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</si>
  <si>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</si>
  <si>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</si>
  <si>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</si>
  <si>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</si>
  <si>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</si>
  <si>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</si>
  <si>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</si>
  <si>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</si>
  <si>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</si>
  <si>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</si>
  <si>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</si>
  <si>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</si>
  <si>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</si>
  <si>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</si>
  <si>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</si>
  <si>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</si>
  <si>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</si>
  <si>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</si>
  <si>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</si>
  <si>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</si>
  <si>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</si>
  <si>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</si>
  <si>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</si>
  <si>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</si>
  <si>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</si>
  <si>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</si>
  <si>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</si>
  <si>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</si>
  <si>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</si>
  <si>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</si>
  <si>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</si>
  <si>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</si>
  <si>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</si>
  <si>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</si>
  <si>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</si>
  <si>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</si>
  <si>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</si>
  <si>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</si>
  <si>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</si>
  <si>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</si>
  <si>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</si>
  <si>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</si>
  <si>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</si>
  <si>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</si>
  <si>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</si>
  <si>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</si>
  <si>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</si>
  <si>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</si>
  <si>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</si>
  <si>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</si>
  <si>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</si>
  <si>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</si>
  <si>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</si>
  <si>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</si>
  <si>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</si>
  <si>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</si>
  <si>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</si>
  <si>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</si>
  <si>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</si>
  <si>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</si>
  <si>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</si>
  <si>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</si>
  <si>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</si>
  <si>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</si>
  <si>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</si>
  <si>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</si>
  <si>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</si>
  <si>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</si>
  <si>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</si>
  <si>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</si>
  <si>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</si>
  <si>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</si>
  <si>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</si>
  <si>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</si>
  <si>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</si>
  <si>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</si>
  <si>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</si>
  <si>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</si>
  <si>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</si>
  <si>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</si>
  <si>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</si>
  <si>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</si>
  <si>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</si>
  <si>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</si>
  <si>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</si>
  <si>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</si>
  <si>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</si>
  <si>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</si>
  <si>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</si>
  <si>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</si>
  <si>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</si>
  <si>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</si>
  <si>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</si>
  <si>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</si>
  <si>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</si>
  <si>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</si>
  <si>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</si>
  <si>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</si>
  <si>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</si>
  <si>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</si>
  <si>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</si>
  <si>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</si>
  <si>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</si>
  <si>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</si>
  <si>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</si>
  <si>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</si>
  <si>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</si>
  <si>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</si>
  <si>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</si>
  <si>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</si>
  <si>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</si>
  <si>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</si>
  <si>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</si>
  <si>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</si>
  <si>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</si>
  <si>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</si>
  <si>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</si>
  <si>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</si>
  <si>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</si>
  <si>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</si>
  <si>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</si>
  <si>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</si>
  <si>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</si>
  <si>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</si>
  <si>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</si>
  <si>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</si>
  <si>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</si>
  <si>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</si>
  <si>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</si>
  <si>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</si>
  <si>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</si>
  <si>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</si>
  <si>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</si>
  <si>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</si>
  <si>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</si>
  <si>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</si>
  <si>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</si>
  <si>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</si>
  <si>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</si>
  <si>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</si>
  <si>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</si>
  <si>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</si>
  <si>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</si>
  <si>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</si>
  <si>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</si>
  <si>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</si>
  <si>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</si>
  <si>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</si>
  <si>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</si>
  <si>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</si>
  <si>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</si>
  <si>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</si>
  <si>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</si>
  <si>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</si>
  <si>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</si>
  <si>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</si>
  <si>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</si>
  <si>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</si>
  <si>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</si>
  <si>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</si>
  <si>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</si>
  <si>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</si>
  <si>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</si>
  <si>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</si>
  <si>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</si>
  <si>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</si>
  <si>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Aviso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</si>
  <si>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</si>
  <si>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</si>
  <si>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</si>
  <si>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</si>
  <si>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</si>
  <si>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</si>
  <si>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</si>
  <si>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</si>
  <si>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</si>
  <si>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</si>
  <si>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</si>
  <si>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</si>
  <si>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</si>
  <si>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</si>
  <si>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</si>
  <si>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</si>
  <si>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</si>
  <si>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</si>
  <si>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</si>
  <si>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</si>
  <si>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</si>
  <si>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</si>
  <si>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</si>
  <si>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</si>
  <si>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</si>
  <si>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</si>
  <si>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</si>
  <si>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</si>
  <si>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</si>
  <si>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</si>
  <si>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</si>
  <si>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</si>
  <si>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</si>
  <si>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</si>
  <si>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</si>
  <si>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</si>
  <si>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</si>
  <si>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</si>
  <si>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</si>
  <si>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</si>
  <si>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</si>
  <si>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</si>
  <si>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</si>
  <si>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</si>
  <si>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</si>
  <si>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</si>
  <si>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</si>
  <si>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</si>
  <si>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</si>
  <si>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</si>
  <si>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</si>
  <si>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</si>
  <si>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</si>
  <si>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</si>
  <si>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</si>
  <si>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</si>
  <si>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</si>
  <si>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</si>
  <si>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</si>
  <si>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</si>
  <si>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</si>
  <si>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</si>
  <si>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</si>
  <si>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</si>
  <si>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</si>
  <si>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</si>
  <si>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</si>
  <si>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</si>
  <si>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</si>
  <si>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</si>
  <si>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</si>
  <si>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</si>
  <si>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</si>
  <si>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</si>
  <si>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</si>
  <si>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</si>
  <si>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</si>
  <si>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</si>
  <si>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</si>
  <si>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</si>
  <si>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</si>
  <si>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</si>
  <si>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</si>
  <si>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</si>
  <si>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</si>
  <si>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</si>
  <si>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</si>
  <si>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</si>
  <si>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</si>
  <si>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</si>
  <si>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</si>
  <si>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</si>
  <si>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</si>
  <si>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</si>
  <si>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</si>
  <si>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</si>
  <si>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</si>
  <si>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</si>
  <si>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</si>
  <si>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</si>
  <si>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</si>
  <si>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</si>
  <si>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</si>
  <si>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</si>
  <si>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</si>
  <si>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</si>
  <si>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</si>
  <si>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</si>
  <si>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</si>
  <si>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</si>
  <si>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</si>
  <si>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</si>
  <si>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</si>
  <si>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</si>
  <si>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</si>
  <si>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</si>
  <si>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</si>
  <si>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</si>
  <si>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</si>
  <si>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</si>
  <si>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</si>
  <si>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</si>
  <si>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</si>
  <si>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</si>
  <si>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</si>
  <si>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</si>
  <si>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</si>
  <si>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</si>
  <si>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</si>
  <si>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</si>
  <si>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</si>
  <si>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</si>
  <si>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</si>
  <si>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</si>
  <si>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</si>
  <si>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</si>
  <si>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</si>
  <si>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</si>
  <si>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</si>
  <si>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</si>
  <si>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</si>
  <si>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</si>
  <si>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</si>
  <si>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</si>
  <si>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</si>
  <si>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</si>
  <si>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</si>
  <si>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</si>
  <si>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</si>
  <si>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</si>
  <si>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</si>
  <si>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</si>
  <si>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</si>
  <si>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</si>
  <si>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</si>
  <si>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</si>
  <si>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</si>
  <si>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</si>
  <si>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</si>
  <si>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</si>
  <si>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</si>
  <si>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</si>
  <si>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</si>
  <si>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</si>
  <si>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</si>
  <si>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</si>
  <si>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</si>
  <si>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</si>
  <si>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</si>
  <si>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</si>
  <si>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</si>
  <si>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</si>
  <si>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</si>
  <si>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</si>
  <si>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</si>
  <si>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</si>
  <si>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</si>
  <si>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</si>
  <si>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</si>
  <si>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</si>
  <si>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</si>
  <si>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</si>
  <si>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</si>
  <si>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</si>
  <si>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</si>
  <si>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</si>
  <si>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</si>
  <si>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</si>
  <si>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</si>
  <si>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</si>
  <si>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</si>
  <si>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</si>
  <si>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</si>
  <si>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</si>
  <si>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</si>
  <si>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</si>
  <si>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</si>
  <si>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</si>
  <si>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</si>
  <si>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</si>
  <si>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</si>
  <si>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</si>
  <si>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</si>
  <si>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</si>
  <si>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</si>
  <si>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</si>
  <si>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</si>
  <si>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</si>
  <si>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</si>
  <si>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</si>
  <si>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</si>
  <si>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</si>
  <si>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</si>
  <si>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</si>
  <si>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</si>
  <si>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</si>
  <si>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</si>
  <si>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</si>
  <si>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</si>
  <si>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</si>
  <si>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</si>
  <si>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</si>
  <si>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</si>
  <si>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</si>
  <si>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</si>
  <si>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</si>
  <si>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</si>
  <si>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</si>
  <si>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</si>
  <si>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</si>
  <si>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</si>
  <si>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</si>
  <si>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</si>
  <si>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</si>
  <si>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</si>
  <si>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</si>
  <si>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</si>
  <si>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</si>
  <si>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</si>
  <si>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</si>
  <si>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</si>
  <si>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</si>
  <si>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</si>
  <si>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</si>
  <si>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</si>
  <si>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</si>
  <si>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</si>
  <si>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</si>
  <si>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</si>
  <si>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</si>
  <si>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</si>
  <si>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</si>
  <si>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</si>
  <si>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</si>
  <si>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</si>
  <si>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</si>
  <si>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</si>
  <si>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</si>
  <si>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</si>
  <si>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</si>
  <si>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</si>
  <si>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</si>
  <si>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</si>
  <si>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</si>
  <si>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</si>
  <si>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</si>
  <si>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</si>
  <si>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</si>
  <si>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</si>
  <si>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</si>
  <si>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</si>
  <si>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</si>
  <si>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</si>
  <si>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</si>
  <si>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</si>
  <si>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</si>
  <si>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</si>
  <si>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</si>
  <si>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Nesi</t>
  </si>
  <si>
    <t>Nathalie</t>
  </si>
  <si>
    <t>nathalie.nesi@rennes.inra.fr</t>
  </si>
  <si>
    <t>IGEPP</t>
  </si>
  <si>
    <t>AM014</t>
  </si>
  <si>
    <t>AM015</t>
  </si>
  <si>
    <t>AM016</t>
  </si>
  <si>
    <t>AM018</t>
  </si>
  <si>
    <t>AM019</t>
  </si>
  <si>
    <t>AM020</t>
  </si>
  <si>
    <t>AM022</t>
  </si>
  <si>
    <t>AM027</t>
  </si>
  <si>
    <t>AM028</t>
  </si>
  <si>
    <t>AM030</t>
  </si>
  <si>
    <t>AM032</t>
  </si>
  <si>
    <t>AM034</t>
  </si>
  <si>
    <t>AM037</t>
  </si>
  <si>
    <t>AM038</t>
  </si>
  <si>
    <t>AM040</t>
  </si>
  <si>
    <t>AM046</t>
  </si>
  <si>
    <t>AM048</t>
  </si>
  <si>
    <t>AM050</t>
  </si>
  <si>
    <t>AM052</t>
  </si>
  <si>
    <t>AM053</t>
  </si>
  <si>
    <t>AM055</t>
  </si>
  <si>
    <t>AM056</t>
  </si>
  <si>
    <t>AM057</t>
  </si>
  <si>
    <t>AM059</t>
  </si>
  <si>
    <t>AM060</t>
  </si>
  <si>
    <t>AM061</t>
  </si>
  <si>
    <t>AM062</t>
  </si>
  <si>
    <t>AM067</t>
  </si>
  <si>
    <t>AM068</t>
  </si>
  <si>
    <t>AM069</t>
  </si>
  <si>
    <t>AM073</t>
  </si>
  <si>
    <t>AM074</t>
  </si>
  <si>
    <t>AM078</t>
  </si>
  <si>
    <t>AM080</t>
  </si>
  <si>
    <t>AM082</t>
  </si>
  <si>
    <t>AM084</t>
  </si>
  <si>
    <t>AM086</t>
  </si>
  <si>
    <t>AM087</t>
  </si>
  <si>
    <t>AM088</t>
  </si>
  <si>
    <t>AM090</t>
  </si>
  <si>
    <t>AM091</t>
  </si>
  <si>
    <t>AM092</t>
  </si>
  <si>
    <t>AM093</t>
  </si>
  <si>
    <t>AM094</t>
  </si>
  <si>
    <t>AM096</t>
  </si>
  <si>
    <t>AM098</t>
  </si>
  <si>
    <t>AM101</t>
  </si>
  <si>
    <t>AM106</t>
  </si>
  <si>
    <t>AM107</t>
  </si>
  <si>
    <t>AM109</t>
  </si>
  <si>
    <t>AM111</t>
  </si>
  <si>
    <t>AM120</t>
  </si>
  <si>
    <t>AM125</t>
  </si>
  <si>
    <t>AM127</t>
  </si>
  <si>
    <t>AM129</t>
  </si>
  <si>
    <t>AM130</t>
  </si>
  <si>
    <t>AM131</t>
  </si>
  <si>
    <t>AM133</t>
  </si>
  <si>
    <t>AM138</t>
  </si>
  <si>
    <t>AM139</t>
  </si>
  <si>
    <t>AM143</t>
  </si>
  <si>
    <t>AM146</t>
  </si>
  <si>
    <t>AM147</t>
  </si>
  <si>
    <t>AM148</t>
  </si>
  <si>
    <t>AM156</t>
  </si>
  <si>
    <t>AM158</t>
  </si>
  <si>
    <t>AM161</t>
  </si>
  <si>
    <t>AM167</t>
  </si>
  <si>
    <t>AM168</t>
  </si>
  <si>
    <t>AM169</t>
  </si>
  <si>
    <t>AM170</t>
  </si>
  <si>
    <t>AM171</t>
  </si>
  <si>
    <t>AM174</t>
  </si>
  <si>
    <t>AM183</t>
  </si>
  <si>
    <t>AM185</t>
  </si>
  <si>
    <t>AM189</t>
  </si>
  <si>
    <t>AM195</t>
  </si>
  <si>
    <t>AM197</t>
  </si>
  <si>
    <t>GENERGY</t>
  </si>
  <si>
    <t>G-066</t>
  </si>
  <si>
    <t>G-069</t>
  </si>
  <si>
    <t>G-002</t>
  </si>
  <si>
    <t>G-006</t>
  </si>
  <si>
    <t>G-096</t>
  </si>
  <si>
    <t>G-084</t>
  </si>
  <si>
    <t>G-009</t>
  </si>
  <si>
    <t>G-108</t>
  </si>
  <si>
    <t>G-060</t>
  </si>
  <si>
    <t>G-063</t>
  </si>
  <si>
    <t>G-001</t>
  </si>
  <si>
    <t>G-051</t>
  </si>
  <si>
    <t>G-054</t>
  </si>
  <si>
    <t>G-021</t>
  </si>
  <si>
    <t>G-087</t>
  </si>
  <si>
    <t>G-093</t>
  </si>
  <si>
    <t>G-033</t>
  </si>
  <si>
    <t>G-036</t>
  </si>
  <si>
    <t>G-075</t>
  </si>
  <si>
    <t>G-045</t>
  </si>
  <si>
    <t>G-039</t>
  </si>
  <si>
    <t>G-015</t>
  </si>
  <si>
    <t>G-105</t>
  </si>
  <si>
    <t>G-057</t>
  </si>
  <si>
    <t>G-099</t>
  </si>
  <si>
    <t>G-018</t>
  </si>
  <si>
    <t>G-117</t>
  </si>
  <si>
    <t>G-081</t>
  </si>
  <si>
    <t>G-090</t>
  </si>
  <si>
    <t>G-114</t>
  </si>
  <si>
    <t>G-012</t>
  </si>
  <si>
    <t>G-027</t>
  </si>
  <si>
    <t>G-042</t>
  </si>
  <si>
    <t>G-030</t>
  </si>
  <si>
    <t>G-102</t>
  </si>
  <si>
    <t>G-003</t>
  </si>
  <si>
    <t>G-072</t>
  </si>
  <si>
    <t>G-111</t>
  </si>
  <si>
    <t>G-078</t>
  </si>
  <si>
    <t>G-024</t>
  </si>
  <si>
    <t>G-048</t>
  </si>
  <si>
    <t>AM017</t>
  </si>
  <si>
    <t>AM035</t>
  </si>
  <si>
    <t>AM042</t>
  </si>
  <si>
    <t>AM066</t>
  </si>
  <si>
    <t>AM083</t>
  </si>
  <si>
    <t>AM089</t>
  </si>
  <si>
    <t>AM123</t>
  </si>
  <si>
    <t>AM141</t>
  </si>
  <si>
    <t>AM145</t>
  </si>
  <si>
    <t>AM165</t>
  </si>
  <si>
    <t>AM186</t>
  </si>
  <si>
    <t>AM193</t>
  </si>
  <si>
    <t>AM198</t>
  </si>
  <si>
    <t>AM031</t>
  </si>
  <si>
    <t>AM033</t>
  </si>
  <si>
    <t>AM036</t>
  </si>
  <si>
    <t>AM039</t>
  </si>
  <si>
    <t>AM045</t>
  </si>
  <si>
    <t>AM049</t>
  </si>
  <si>
    <t>AM058</t>
  </si>
  <si>
    <t>AM063</t>
  </si>
  <si>
    <t>AM064</t>
  </si>
  <si>
    <t>AM070</t>
  </si>
  <si>
    <t>AM071</t>
  </si>
  <si>
    <t>AM076</t>
  </si>
  <si>
    <t>AM085</t>
  </si>
  <si>
    <t>AM100</t>
  </si>
  <si>
    <t>AM124</t>
  </si>
  <si>
    <t>AM137</t>
  </si>
  <si>
    <t>AM140</t>
  </si>
  <si>
    <t>AM144</t>
  </si>
  <si>
    <t>AM149</t>
  </si>
  <si>
    <t>AM164</t>
  </si>
  <si>
    <t>AM166</t>
  </si>
  <si>
    <t>AM172</t>
  </si>
  <si>
    <t>AM173</t>
  </si>
  <si>
    <t>AM188</t>
  </si>
  <si>
    <t>G-004</t>
  </si>
  <si>
    <t>G-005</t>
  </si>
  <si>
    <t>G-007</t>
  </si>
  <si>
    <t>G-008</t>
  </si>
  <si>
    <t>G-010</t>
  </si>
  <si>
    <t>G-011</t>
  </si>
  <si>
    <t>G-013</t>
  </si>
  <si>
    <t>G-014</t>
  </si>
  <si>
    <t>G-016</t>
  </si>
  <si>
    <t>G-017</t>
  </si>
  <si>
    <t>G-019</t>
  </si>
  <si>
    <t>G-020</t>
  </si>
  <si>
    <t>G-022</t>
  </si>
  <si>
    <t>G-023</t>
  </si>
  <si>
    <t>G-025</t>
  </si>
  <si>
    <t>G-026</t>
  </si>
  <si>
    <t>G-028</t>
  </si>
  <si>
    <t>G-029</t>
  </si>
  <si>
    <t>G-031</t>
  </si>
  <si>
    <t>G-032</t>
  </si>
  <si>
    <t>G-034</t>
  </si>
  <si>
    <t>G-035</t>
  </si>
  <si>
    <t>G-037</t>
  </si>
  <si>
    <t>G-038</t>
  </si>
  <si>
    <t>G-040</t>
  </si>
  <si>
    <t>G-041</t>
  </si>
  <si>
    <t>G-043</t>
  </si>
  <si>
    <t>G-044</t>
  </si>
  <si>
    <t>G-046</t>
  </si>
  <si>
    <t>G-047</t>
  </si>
  <si>
    <t>G-049</t>
  </si>
  <si>
    <t>G-050</t>
  </si>
  <si>
    <t>G-052</t>
  </si>
  <si>
    <t>G-053</t>
  </si>
  <si>
    <t>G-055</t>
  </si>
  <si>
    <t>G-056</t>
  </si>
  <si>
    <t>G-058</t>
  </si>
  <si>
    <t>G-059</t>
  </si>
  <si>
    <t>G-061</t>
  </si>
  <si>
    <t>G-062</t>
  </si>
  <si>
    <t>G-064</t>
  </si>
  <si>
    <t>G-065</t>
  </si>
  <si>
    <t>G-067</t>
  </si>
  <si>
    <t>G-068</t>
  </si>
  <si>
    <t>G-070</t>
  </si>
  <si>
    <t>G-071</t>
  </si>
  <si>
    <t>G-073</t>
  </si>
  <si>
    <t>G-074</t>
  </si>
  <si>
    <t>G-076</t>
  </si>
  <si>
    <t>G-077</t>
  </si>
  <si>
    <t>G-079</t>
  </si>
  <si>
    <t>G-080</t>
  </si>
  <si>
    <t>G-082</t>
  </si>
  <si>
    <t>G-083</t>
  </si>
  <si>
    <t>G-085</t>
  </si>
  <si>
    <t>G-086</t>
  </si>
  <si>
    <t>G-088</t>
  </si>
  <si>
    <t>G-089</t>
  </si>
  <si>
    <t>G-091</t>
  </si>
  <si>
    <t>G-092</t>
  </si>
  <si>
    <t>G-094</t>
  </si>
  <si>
    <t>G-095</t>
  </si>
  <si>
    <t>G-097</t>
  </si>
  <si>
    <t>G-098</t>
  </si>
  <si>
    <t>G-100</t>
  </si>
  <si>
    <t>G-101</t>
  </si>
  <si>
    <t>G-103</t>
  </si>
  <si>
    <t>G-104</t>
  </si>
  <si>
    <t>G-106</t>
  </si>
  <si>
    <t>G-107</t>
  </si>
  <si>
    <t>G-109</t>
  </si>
  <si>
    <t>G-110</t>
  </si>
  <si>
    <t>G-112</t>
  </si>
  <si>
    <t>G-113</t>
  </si>
  <si>
    <t>G-115</t>
  </si>
  <si>
    <t>G-116</t>
  </si>
  <si>
    <t>NA</t>
  </si>
  <si>
    <t xml:space="preserve">Deux échantillons différents sont identifiés : 1/5 des plantes et 4/5 des plantes </t>
  </si>
  <si>
    <t>G-001: Aviso</t>
  </si>
  <si>
    <t>G-002: Montego</t>
  </si>
  <si>
    <t>G-125: Tenor</t>
  </si>
  <si>
    <t>G-126:Express</t>
  </si>
  <si>
    <t>Fertilisation limitante (0 kg N/ha)</t>
  </si>
  <si>
    <t>Fertilisation optimale (80 kg N/ha)</t>
  </si>
  <si>
    <t>2012-2013</t>
  </si>
  <si>
    <t>Sol argileux et profond (80cm)</t>
  </si>
  <si>
    <t>Limon</t>
  </si>
  <si>
    <t>sable</t>
  </si>
  <si>
    <t>argile</t>
  </si>
  <si>
    <t>Year</t>
  </si>
  <si>
    <t>LR13</t>
  </si>
  <si>
    <t>n-3</t>
  </si>
  <si>
    <t>Wheat</t>
  </si>
  <si>
    <t>Fava bean</t>
  </si>
  <si>
    <t>n-2</t>
  </si>
  <si>
    <t>n-1</t>
  </si>
  <si>
    <t>Winter barley*</t>
  </si>
  <si>
    <t>n</t>
  </si>
  <si>
    <t>LR13 trial</t>
  </si>
  <si>
    <t>*, crop in n-1 were grown under low N inputs (input N = 60 kg/ha)</t>
  </si>
  <si>
    <t>Le Rheu</t>
  </si>
  <si>
    <t>FRA_35_LR</t>
  </si>
  <si>
    <t>AM_LR13</t>
  </si>
  <si>
    <t>AM13LR</t>
  </si>
  <si>
    <t>split-plot</t>
  </si>
  <si>
    <t>48_x0003_8021.7600N</t>
  </si>
  <si>
    <t>1_x0003_46056.2300O</t>
  </si>
  <si>
    <t>B2</t>
  </si>
  <si>
    <t>B3</t>
  </si>
  <si>
    <t>B4</t>
  </si>
  <si>
    <t>Astrid</t>
  </si>
  <si>
    <t>Express</t>
  </si>
  <si>
    <t>Grizzly</t>
  </si>
  <si>
    <t>Mohican</t>
  </si>
  <si>
    <t>Oase</t>
  </si>
  <si>
    <t>Tenor</t>
  </si>
  <si>
    <t>block</t>
  </si>
  <si>
    <t>B</t>
  </si>
  <si>
    <t>122T</t>
  </si>
  <si>
    <t>2</t>
  </si>
  <si>
    <t>122E</t>
  </si>
  <si>
    <t>INN (1 ou 2 + 3)</t>
  </si>
  <si>
    <t>INN1 sur N1</t>
  </si>
  <si>
    <t>TOTAL</t>
  </si>
  <si>
    <t>RDT - IRN 4 plt</t>
  </si>
  <si>
    <t>INN2 sur N2</t>
  </si>
  <si>
    <t>Montégo</t>
  </si>
  <si>
    <t>Tensio + IRN 1m²</t>
  </si>
  <si>
    <t>Vide</t>
  </si>
  <si>
    <t>batteries</t>
  </si>
  <si>
    <t>tensionics</t>
  </si>
  <si>
    <t xml:space="preserve">Tensio </t>
  </si>
  <si>
    <t>sur placette vide N1 ou N2</t>
  </si>
  <si>
    <t>Tensio</t>
  </si>
  <si>
    <t>sur placette COLZA N1 ou N2</t>
  </si>
  <si>
    <t>G-1</t>
  </si>
  <si>
    <t>G-2</t>
  </si>
  <si>
    <t>INN1</t>
  </si>
  <si>
    <t>INN2</t>
  </si>
  <si>
    <t>INN3</t>
  </si>
  <si>
    <t>N1 B1</t>
  </si>
  <si>
    <t>N1 B2</t>
  </si>
  <si>
    <t>N1 B3</t>
  </si>
  <si>
    <t>N1 B4</t>
  </si>
  <si>
    <t>N2 B1</t>
  </si>
  <si>
    <t>N2 B2</t>
  </si>
  <si>
    <t>N2 B3</t>
  </si>
  <si>
    <t>N2 B4</t>
  </si>
  <si>
    <t>Sowing</t>
  </si>
  <si>
    <t>N1: 0 kg/ha and N2: 40 kg/ha</t>
  </si>
  <si>
    <t>15-16/07/2013</t>
  </si>
  <si>
    <t>Mesure N sol</t>
  </si>
  <si>
    <t>Fertilisation</t>
  </si>
  <si>
    <t>Récolte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</si>
</sst>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dd/mm/yy"/>
    <numFmt numFmtId="165" formatCode="d/mm/yyyy;@"/>
    <numFmt numFmtId="166" formatCode="d/m/yy;@"/>
  </numFmts>
  <fonts count="71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Geneva"/>
    </font>
    <font>
      <u/>
      <sz val="10"/>
      <color indexed="12"/>
      <name val="Arial"/>
      <family val="2"/>
    </font>
    <font>
      <sz val="8"/>
      <color indexed="8"/>
      <name val="Calibri"/>
      <family val="2"/>
      <charset val="1"/>
    </font>
    <font>
      <sz val="12"/>
      <name val="Times New Roman"/>
      <family val="1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08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9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1" fillId="27" borderId="24" applyNumberFormat="0" applyFont="0" applyAlignment="0" applyProtection="0"/>
    <xf numFmtId="0" fontId="26" fillId="27" borderId="24" applyNumberFormat="0" applyFont="0" applyAlignment="0" applyProtection="0"/>
    <xf numFmtId="0" fontId="46" fillId="13" borderId="22" applyNumberFormat="0" applyAlignment="0" applyProtection="0"/>
    <xf numFmtId="0" fontId="46" fillId="13" borderId="22" applyNumberFormat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43" fontId="26" fillId="0" borderId="0" applyFont="0" applyFill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49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26" borderId="5" applyNumberFormat="0" applyAlignment="0" applyProtection="0"/>
    <xf numFmtId="0" fontId="51" fillId="26" borderId="5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6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8" fillId="29" borderId="29" applyNumberFormat="0" applyAlignment="0" applyProtection="0"/>
    <xf numFmtId="0" fontId="58" fillId="29" borderId="29" applyNumberFormat="0" applyAlignment="0" applyProtection="0"/>
  </cellStyleXfs>
  <cellXfs count="378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4" fillId="3" borderId="11" xfId="0" applyFont="1" applyFill="1" applyBorder="1" applyAlignment="1">
      <alignment vertical="center"/>
    </xf>
    <xf numFmtId="0" fontId="24" fillId="0" borderId="12" xfId="0" applyFont="1" applyFill="1" applyBorder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7" fillId="0" borderId="0" xfId="0" applyFont="1"/>
    <xf numFmtId="0" fontId="22" fillId="6" borderId="12" xfId="5" applyFont="1" applyFill="1" applyBorder="1"/>
    <xf numFmtId="0" fontId="28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5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 wrapText="1"/>
    </xf>
    <xf numFmtId="0" fontId="26" fillId="0" borderId="14" xfId="9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7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49" fontId="0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9" fillId="0" borderId="0" xfId="0" applyFont="1"/>
    <xf numFmtId="0" fontId="38" fillId="0" borderId="0" xfId="0" applyFont="1"/>
    <xf numFmtId="0" fontId="39" fillId="0" borderId="0" xfId="0" applyFont="1" applyAlignment="1"/>
    <xf numFmtId="0" fontId="36" fillId="0" borderId="0" xfId="0" applyFont="1" applyAlignment="1"/>
    <xf numFmtId="0" fontId="38" fillId="0" borderId="0" xfId="0" applyFont="1" applyAlignment="1"/>
    <xf numFmtId="0" fontId="0" fillId="0" borderId="0" xfId="0" applyFont="1" applyProtection="1">
      <protection locked="0"/>
    </xf>
    <xf numFmtId="0" fontId="2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0" fillId="0" borderId="0" xfId="0" applyFont="1"/>
    <xf numFmtId="14" fontId="0" fillId="0" borderId="0" xfId="0" applyNumberFormat="1"/>
    <xf numFmtId="0" fontId="23" fillId="0" borderId="0" xfId="13"/>
    <xf numFmtId="0" fontId="1" fillId="0" borderId="0" xfId="87"/>
    <xf numFmtId="0" fontId="1" fillId="0" borderId="0" xfId="87" applyAlignment="1">
      <alignment horizontal="center"/>
    </xf>
    <xf numFmtId="0" fontId="26" fillId="0" borderId="0" xfId="77"/>
    <xf numFmtId="0" fontId="26" fillId="0" borderId="0" xfId="77" applyFont="1"/>
    <xf numFmtId="0" fontId="59" fillId="0" borderId="0" xfId="77" applyFont="1"/>
    <xf numFmtId="0" fontId="13" fillId="33" borderId="14" xfId="9" applyFont="1" applyFill="1" applyBorder="1" applyAlignment="1">
      <alignment horizontal="center"/>
    </xf>
    <xf numFmtId="0" fontId="64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65" fillId="0" borderId="1" xfId="0" applyFont="1" applyBorder="1"/>
    <xf numFmtId="0" fontId="67" fillId="0" borderId="0" xfId="0" applyFont="1"/>
    <xf numFmtId="0" fontId="26" fillId="0" borderId="0" xfId="82" applyNumberFormat="1" applyFont="1" applyFill="1" applyBorder="1" applyAlignment="1"/>
    <xf numFmtId="0" fontId="61" fillId="32" borderId="17" xfId="13" applyFont="1" applyFill="1" applyBorder="1" applyAlignment="1">
      <alignment horizontal="center" vertical="center"/>
    </xf>
    <xf numFmtId="0" fontId="23" fillId="0" borderId="0" xfId="13" applyAlignment="1">
      <alignment vertical="center"/>
    </xf>
    <xf numFmtId="14" fontId="62" fillId="30" borderId="17" xfId="13" applyNumberFormat="1" applyFont="1" applyFill="1" applyBorder="1" applyAlignment="1">
      <alignment horizontal="center" vertical="center"/>
    </xf>
    <xf numFmtId="0" fontId="62" fillId="0" borderId="17" xfId="13" applyFont="1" applyBorder="1" applyAlignment="1">
      <alignment horizontal="center" vertical="center"/>
    </xf>
    <xf numFmtId="0" fontId="62" fillId="0" borderId="17" xfId="13" applyFont="1" applyBorder="1" applyAlignment="1">
      <alignment horizontal="center" vertical="center" wrapText="1"/>
    </xf>
    <xf numFmtId="0" fontId="23" fillId="0" borderId="0" xfId="13" applyAlignment="1">
      <alignment horizontal="center" vertical="center"/>
    </xf>
    <xf numFmtId="0" fontId="25" fillId="0" borderId="0" xfId="0" applyNumberFormat="1" applyFont="1" applyAlignment="1">
      <alignment horizontal="right"/>
    </xf>
    <xf numFmtId="0" fontId="26" fillId="0" borderId="0" xfId="0" applyNumberFormat="1" applyFont="1" applyAlignment="1" applyProtection="1">
      <protection locked="0"/>
    </xf>
    <xf numFmtId="0" fontId="23" fillId="0" borderId="17" xfId="13" applyBorder="1" applyAlignment="1">
      <alignment horizontal="center" vertical="center"/>
    </xf>
    <xf numFmtId="2" fontId="25" fillId="0" borderId="0" xfId="0" applyNumberFormat="1" applyFont="1" applyAlignment="1">
      <alignment horizontal="right"/>
    </xf>
    <xf numFmtId="165" fontId="26" fillId="0" borderId="0" xfId="0" applyNumberFormat="1" applyFont="1" applyAlignment="1" applyProtection="1">
      <protection locked="0"/>
    </xf>
    <xf numFmtId="14" fontId="25" fillId="0" borderId="0" xfId="0" applyNumberFormat="1" applyFont="1" applyAlignment="1">
      <alignment horizontal="right"/>
    </xf>
    <xf numFmtId="14" fontId="26" fillId="0" borderId="0" xfId="0" applyNumberFormat="1" applyFont="1" applyAlignment="1" applyProtection="1">
      <alignment horizontal="right"/>
      <protection locked="0"/>
    </xf>
    <xf numFmtId="0" fontId="24" fillId="4" borderId="12" xfId="0" applyNumberFormat="1" applyFont="1" applyFill="1" applyBorder="1"/>
    <xf numFmtId="0" fontId="24" fillId="4" borderId="12" xfId="0" applyFont="1" applyFill="1" applyBorder="1"/>
    <xf numFmtId="0" fontId="26" fillId="0" borderId="0" xfId="0" applyFont="1"/>
    <xf numFmtId="0" fontId="26" fillId="0" borderId="12" xfId="0" applyNumberFormat="1" applyFont="1" applyFill="1" applyBorder="1"/>
    <xf numFmtId="0" fontId="68" fillId="0" borderId="0" xfId="0" applyFont="1" applyAlignment="1">
      <alignment horizontal="left"/>
    </xf>
    <xf numFmtId="0" fontId="26" fillId="0" borderId="0" xfId="77" applyAlignment="1">
      <alignment horizontal="center" vertical="center"/>
    </xf>
    <xf numFmtId="0" fontId="59" fillId="32" borderId="37" xfId="77" applyFont="1" applyFill="1" applyBorder="1" applyAlignment="1">
      <alignment horizontal="center" vertical="center"/>
    </xf>
    <xf numFmtId="0" fontId="59" fillId="32" borderId="42" xfId="77" applyFont="1" applyFill="1" applyBorder="1" applyAlignment="1">
      <alignment horizontal="center" vertical="center"/>
    </xf>
    <xf numFmtId="0" fontId="59" fillId="32" borderId="43" xfId="77" applyFont="1" applyFill="1" applyBorder="1" applyAlignment="1">
      <alignment horizontal="center" vertical="center"/>
    </xf>
    <xf numFmtId="0" fontId="59" fillId="32" borderId="41" xfId="77" applyFont="1" applyFill="1" applyBorder="1" applyAlignment="1">
      <alignment horizontal="center" vertical="center"/>
    </xf>
    <xf numFmtId="0" fontId="59" fillId="32" borderId="30" xfId="77" applyFont="1" applyFill="1" applyBorder="1" applyAlignment="1">
      <alignment horizontal="center" vertical="center"/>
    </xf>
    <xf numFmtId="0" fontId="59" fillId="32" borderId="35" xfId="77" applyFont="1" applyFill="1" applyBorder="1" applyAlignment="1">
      <alignment horizontal="center" vertical="center"/>
    </xf>
    <xf numFmtId="0" fontId="59" fillId="32" borderId="34" xfId="77" applyFont="1" applyFill="1" applyBorder="1" applyAlignment="1">
      <alignment horizontal="center" vertical="center"/>
    </xf>
    <xf numFmtId="0" fontId="59" fillId="31" borderId="34" xfId="77" applyFont="1" applyFill="1" applyBorder="1" applyAlignment="1">
      <alignment horizontal="center" vertical="center"/>
    </xf>
    <xf numFmtId="2" fontId="26" fillId="0" borderId="0" xfId="0" applyNumberFormat="1" applyFont="1" applyAlignment="1" applyProtection="1">
      <protection locked="0"/>
    </xf>
    <xf numFmtId="0" fontId="59" fillId="32" borderId="47" xfId="77" applyFont="1" applyFill="1" applyBorder="1" applyAlignment="1">
      <alignment horizontal="center" vertical="center"/>
    </xf>
    <xf numFmtId="0" fontId="26" fillId="0" borderId="0" xfId="84"/>
    <xf numFmtId="0" fontId="26" fillId="0" borderId="0" xfId="84" applyAlignment="1">
      <alignment horizontal="center"/>
    </xf>
    <xf numFmtId="0" fontId="34" fillId="0" borderId="0" xfId="87" applyFont="1" applyBorder="1" applyAlignment="1">
      <alignment horizontal="center"/>
    </xf>
    <xf numFmtId="0" fontId="1" fillId="0" borderId="0" xfId="87" applyBorder="1" applyAlignment="1">
      <alignment horizontal="center"/>
    </xf>
    <xf numFmtId="0" fontId="34" fillId="0" borderId="17" xfId="87" applyFont="1" applyBorder="1" applyAlignment="1">
      <alignment horizontal="center"/>
    </xf>
    <xf numFmtId="9" fontId="1" fillId="0" borderId="17" xfId="87" applyNumberFormat="1" applyBorder="1" applyAlignment="1">
      <alignment horizontal="center"/>
    </xf>
    <xf numFmtId="0" fontId="69" fillId="0" borderId="48" xfId="6" applyFont="1" applyBorder="1" applyAlignment="1">
      <alignment horizontal="center"/>
    </xf>
    <xf numFmtId="0" fontId="69" fillId="0" borderId="49" xfId="6" applyFont="1" applyBorder="1" applyAlignment="1">
      <alignment horizontal="center"/>
    </xf>
    <xf numFmtId="0" fontId="69" fillId="0" borderId="50" xfId="6" applyFont="1" applyBorder="1" applyAlignment="1">
      <alignment horizontal="center"/>
    </xf>
    <xf numFmtId="0" fontId="70" fillId="0" borderId="0" xfId="6" applyFont="1" applyAlignment="1">
      <alignment horizontal="center"/>
    </xf>
    <xf numFmtId="0" fontId="70" fillId="0" borderId="49" xfId="6" applyFont="1" applyBorder="1" applyAlignment="1">
      <alignment horizontal="center"/>
    </xf>
    <xf numFmtId="0" fontId="70" fillId="0" borderId="0" xfId="6" applyFont="1" applyAlignment="1">
      <alignment horizontal="left"/>
    </xf>
    <xf numFmtId="0" fontId="69" fillId="0" borderId="0" xfId="6" applyFont="1" applyAlignment="1">
      <alignment horizontal="center"/>
    </xf>
    <xf numFmtId="0" fontId="66" fillId="0" borderId="0" xfId="0" applyFont="1" applyFill="1"/>
    <xf numFmtId="2" fontId="0" fillId="0" borderId="0" xfId="0" applyNumberFormat="1"/>
    <xf numFmtId="2" fontId="0" fillId="0" borderId="12" xfId="0" applyNumberFormat="1" applyFill="1" applyBorder="1"/>
    <xf numFmtId="0" fontId="26" fillId="35" borderId="17" xfId="84" applyFill="1" applyBorder="1" applyAlignment="1">
      <alignment horizontal="center"/>
    </xf>
    <xf numFmtId="0" fontId="26" fillId="0" borderId="17" xfId="84" applyBorder="1"/>
    <xf numFmtId="0" fontId="26" fillId="35" borderId="32" xfId="84" applyFill="1" applyBorder="1" applyAlignment="1">
      <alignment horizontal="center"/>
    </xf>
    <xf numFmtId="0" fontId="26" fillId="0" borderId="17" xfId="84" applyFill="1" applyBorder="1"/>
    <xf numFmtId="0" fontId="26" fillId="0" borderId="34" xfId="84" applyFill="1" applyBorder="1"/>
    <xf numFmtId="0" fontId="26" fillId="36" borderId="17" xfId="84" applyFill="1" applyBorder="1"/>
    <xf numFmtId="0" fontId="26" fillId="0" borderId="32" xfId="84" applyFill="1" applyBorder="1"/>
    <xf numFmtId="0" fontId="26" fillId="0" borderId="46" xfId="84" applyFill="1" applyBorder="1"/>
    <xf numFmtId="0" fontId="26" fillId="37" borderId="17" xfId="84" applyFill="1" applyBorder="1"/>
    <xf numFmtId="0" fontId="26" fillId="35" borderId="46" xfId="84" applyFill="1" applyBorder="1" applyAlignment="1">
      <alignment horizontal="center"/>
    </xf>
    <xf numFmtId="0" fontId="59" fillId="0" borderId="51" xfId="84" applyFont="1" applyFill="1" applyBorder="1"/>
    <xf numFmtId="0" fontId="26" fillId="31" borderId="17" xfId="84" applyFill="1" applyBorder="1"/>
    <xf numFmtId="0" fontId="26" fillId="0" borderId="52" xfId="84" applyFill="1" applyBorder="1"/>
    <xf numFmtId="0" fontId="26" fillId="38" borderId="17" xfId="84" applyFill="1" applyBorder="1"/>
    <xf numFmtId="49" fontId="57" fillId="39" borderId="51" xfId="7" applyNumberFormat="1" applyFont="1" applyFill="1" applyBorder="1" applyAlignment="1">
      <alignment horizontal="center"/>
    </xf>
    <xf numFmtId="0" fontId="26" fillId="0" borderId="33" xfId="84" applyFill="1" applyBorder="1"/>
    <xf numFmtId="0" fontId="26" fillId="0" borderId="53" xfId="84" applyFill="1" applyBorder="1"/>
    <xf numFmtId="0" fontId="26" fillId="0" borderId="54" xfId="84" applyFill="1" applyBorder="1"/>
    <xf numFmtId="0" fontId="26" fillId="40" borderId="17" xfId="84" applyFill="1" applyBorder="1"/>
    <xf numFmtId="0" fontId="26" fillId="41" borderId="17" xfId="84" applyFill="1" applyBorder="1"/>
    <xf numFmtId="0" fontId="26" fillId="35" borderId="52" xfId="84" applyFill="1" applyBorder="1" applyAlignment="1">
      <alignment horizontal="center"/>
    </xf>
    <xf numFmtId="0" fontId="26" fillId="42" borderId="17" xfId="84" applyFill="1" applyBorder="1"/>
    <xf numFmtId="0" fontId="26" fillId="0" borderId="55" xfId="84" applyFill="1" applyBorder="1"/>
    <xf numFmtId="0" fontId="26" fillId="0" borderId="0" xfId="84" applyFill="1" applyBorder="1"/>
    <xf numFmtId="0" fontId="26" fillId="0" borderId="56" xfId="84" applyFill="1" applyBorder="1"/>
    <xf numFmtId="0" fontId="26" fillId="0" borderId="0" xfId="84" applyFill="1" applyBorder="1" applyAlignment="1">
      <alignment horizontal="center"/>
    </xf>
    <xf numFmtId="0" fontId="26" fillId="0" borderId="0" xfId="84" applyFill="1" applyAlignment="1">
      <alignment horizontal="center"/>
    </xf>
    <xf numFmtId="0" fontId="26" fillId="43" borderId="17" xfId="84" applyFill="1" applyBorder="1"/>
    <xf numFmtId="0" fontId="26" fillId="0" borderId="57" xfId="84" applyFill="1" applyBorder="1"/>
    <xf numFmtId="0" fontId="26" fillId="0" borderId="58" xfId="84" applyFill="1" applyBorder="1"/>
    <xf numFmtId="0" fontId="26" fillId="31" borderId="46" xfId="84" applyFill="1" applyBorder="1"/>
    <xf numFmtId="0" fontId="26" fillId="31" borderId="33" xfId="84" applyFill="1" applyBorder="1"/>
    <xf numFmtId="0" fontId="26" fillId="0" borderId="59" xfId="84" applyFill="1" applyBorder="1"/>
    <xf numFmtId="0" fontId="59" fillId="0" borderId="0" xfId="84" applyFont="1" applyFill="1" applyBorder="1" applyAlignment="1">
      <alignment horizontal="center"/>
    </xf>
    <xf numFmtId="0" fontId="26" fillId="0" borderId="0" xfId="84" applyFont="1"/>
    <xf numFmtId="0" fontId="59" fillId="0" borderId="0" xfId="84" applyFont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44" borderId="63" xfId="0" applyFill="1" applyBorder="1"/>
    <xf numFmtId="0" fontId="0" fillId="44" borderId="17" xfId="0" applyFill="1" applyBorder="1"/>
    <xf numFmtId="0" fontId="0" fillId="0" borderId="17" xfId="0" applyBorder="1"/>
    <xf numFmtId="0" fontId="0" fillId="0" borderId="64" xfId="0" applyBorder="1"/>
    <xf numFmtId="0" fontId="0" fillId="45" borderId="63" xfId="0" applyFill="1" applyBorder="1"/>
    <xf numFmtId="0" fontId="0" fillId="45" borderId="17" xfId="0" applyFill="1" applyBorder="1"/>
    <xf numFmtId="0" fontId="26" fillId="46" borderId="17" xfId="84" applyFill="1" applyBorder="1"/>
    <xf numFmtId="0" fontId="0" fillId="0" borderId="63" xfId="0" applyBorder="1"/>
    <xf numFmtId="0" fontId="59" fillId="0" borderId="0" xfId="84" applyFont="1" applyFill="1"/>
    <xf numFmtId="0" fontId="0" fillId="39" borderId="63" xfId="0" applyFill="1" applyBorder="1"/>
    <xf numFmtId="0" fontId="0" fillId="39" borderId="17" xfId="0" applyFill="1" applyBorder="1"/>
    <xf numFmtId="0" fontId="0" fillId="0" borderId="17" xfId="0" applyFill="1" applyBorder="1"/>
    <xf numFmtId="0" fontId="0" fillId="0" borderId="65" xfId="0" applyFill="1" applyBorder="1"/>
    <xf numFmtId="0" fontId="0" fillId="0" borderId="32" xfId="0" applyBorder="1"/>
    <xf numFmtId="0" fontId="59" fillId="0" borderId="66" xfId="0" applyFont="1" applyBorder="1"/>
    <xf numFmtId="0" fontId="26" fillId="0" borderId="67" xfId="84" applyBorder="1"/>
    <xf numFmtId="0" fontId="0" fillId="0" borderId="68" xfId="0" applyBorder="1"/>
    <xf numFmtId="0" fontId="0" fillId="0" borderId="45" xfId="0" applyBorder="1"/>
    <xf numFmtId="0" fontId="0" fillId="0" borderId="69" xfId="0" applyBorder="1"/>
    <xf numFmtId="0" fontId="26" fillId="0" borderId="0" xfId="84" applyAlignment="1"/>
    <xf numFmtId="0" fontId="26" fillId="47" borderId="51" xfId="84" applyFont="1" applyFill="1" applyBorder="1" applyAlignment="1"/>
    <xf numFmtId="0" fontId="26" fillId="45" borderId="72" xfId="84" applyFill="1" applyBorder="1"/>
    <xf numFmtId="0" fontId="26" fillId="0" borderId="0" xfId="84" applyFont="1" applyAlignment="1"/>
    <xf numFmtId="0" fontId="0" fillId="34" borderId="33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26" fillId="48" borderId="17" xfId="78" applyFont="1" applyFill="1" applyBorder="1" applyAlignment="1">
      <alignment horizontal="center"/>
    </xf>
    <xf numFmtId="0" fontId="26" fillId="34" borderId="17" xfId="78" applyFont="1" applyFill="1" applyBorder="1" applyAlignment="1">
      <alignment horizontal="center"/>
    </xf>
    <xf numFmtId="0" fontId="26" fillId="34" borderId="45" xfId="78" applyFont="1" applyFill="1" applyBorder="1" applyAlignment="1">
      <alignment horizontal="center"/>
    </xf>
    <xf numFmtId="0" fontId="0" fillId="48" borderId="17" xfId="0" applyFill="1" applyBorder="1" applyAlignment="1">
      <alignment horizontal="center"/>
    </xf>
    <xf numFmtId="0" fontId="0" fillId="34" borderId="45" xfId="0" applyFill="1" applyBorder="1" applyAlignment="1">
      <alignment horizontal="center"/>
    </xf>
    <xf numFmtId="0" fontId="24" fillId="48" borderId="17" xfId="78" applyFont="1" applyFill="1" applyBorder="1" applyAlignment="1">
      <alignment horizontal="center"/>
    </xf>
    <xf numFmtId="0" fontId="24" fillId="34" borderId="17" xfId="78" applyFont="1" applyFill="1" applyBorder="1" applyAlignment="1">
      <alignment horizontal="center"/>
    </xf>
    <xf numFmtId="0" fontId="24" fillId="34" borderId="45" xfId="78" applyFont="1" applyFill="1" applyBorder="1" applyAlignment="1">
      <alignment horizontal="center"/>
    </xf>
    <xf numFmtId="166" fontId="24" fillId="34" borderId="59" xfId="82" applyNumberFormat="1" applyFont="1" applyFill="1" applyBorder="1" applyAlignment="1">
      <alignment horizontal="center" wrapText="1"/>
    </xf>
    <xf numFmtId="166" fontId="24" fillId="34" borderId="32" xfId="82" applyNumberFormat="1" applyFont="1" applyFill="1" applyBorder="1" applyAlignment="1">
      <alignment horizontal="center" wrapText="1"/>
    </xf>
    <xf numFmtId="166" fontId="24" fillId="48" borderId="32" xfId="8" applyNumberFormat="1" applyFont="1" applyFill="1" applyBorder="1" applyAlignment="1">
      <alignment horizontal="center" wrapText="1"/>
    </xf>
    <xf numFmtId="166" fontId="24" fillId="34" borderId="32" xfId="8" applyNumberFormat="1" applyFont="1" applyFill="1" applyBorder="1" applyAlignment="1">
      <alignment horizontal="center" wrapText="1"/>
    </xf>
    <xf numFmtId="2" fontId="24" fillId="34" borderId="32" xfId="8" applyNumberFormat="1" applyFont="1" applyFill="1" applyBorder="1" applyAlignment="1">
      <alignment horizontal="center" wrapText="1"/>
    </xf>
    <xf numFmtId="15" fontId="24" fillId="34" borderId="32" xfId="8" applyNumberFormat="1" applyFont="1" applyFill="1" applyBorder="1" applyAlignment="1">
      <alignment horizontal="center" wrapText="1"/>
    </xf>
    <xf numFmtId="15" fontId="24" fillId="34" borderId="69" xfId="8" applyNumberFormat="1" applyFont="1" applyFill="1" applyBorder="1" applyAlignment="1">
      <alignment horizontal="center" wrapText="1"/>
    </xf>
    <xf numFmtId="0" fontId="0" fillId="34" borderId="63" xfId="0" applyFill="1" applyBorder="1" applyAlignment="1">
      <alignment horizontal="center"/>
    </xf>
    <xf numFmtId="2" fontId="24" fillId="48" borderId="63" xfId="8" applyNumberFormat="1" applyFont="1" applyFill="1" applyBorder="1" applyAlignment="1">
      <alignment horizontal="center" wrapText="1"/>
    </xf>
    <xf numFmtId="2" fontId="24" fillId="34" borderId="63" xfId="8" applyNumberFormat="1" applyFont="1" applyFill="1" applyBorder="1" applyAlignment="1">
      <alignment horizontal="center" wrapText="1"/>
    </xf>
    <xf numFmtId="2" fontId="24" fillId="34" borderId="68" xfId="8" applyNumberFormat="1" applyFont="1" applyFill="1" applyBorder="1" applyAlignment="1">
      <alignment horizontal="center" wrapText="1"/>
    </xf>
    <xf numFmtId="1" fontId="24" fillId="34" borderId="60" xfId="82" applyNumberFormat="1" applyFont="1" applyFill="1" applyBorder="1" applyAlignment="1">
      <alignment horizontal="center" wrapText="1"/>
    </xf>
    <xf numFmtId="1" fontId="24" fillId="34" borderId="63" xfId="82" applyNumberFormat="1" applyFont="1" applyFill="1" applyBorder="1" applyAlignment="1">
      <alignment horizontal="center" wrapText="1"/>
    </xf>
    <xf numFmtId="1" fontId="24" fillId="48" borderId="63" xfId="82" applyNumberFormat="1" applyFont="1" applyFill="1" applyBorder="1" applyAlignment="1">
      <alignment horizontal="center" wrapText="1"/>
    </xf>
    <xf numFmtId="0" fontId="24" fillId="34" borderId="63" xfId="82" applyFont="1" applyFill="1" applyBorder="1" applyAlignment="1">
      <alignment horizontal="center" wrapText="1"/>
    </xf>
    <xf numFmtId="0" fontId="24" fillId="34" borderId="68" xfId="82" applyFont="1" applyFill="1" applyBorder="1" applyAlignment="1">
      <alignment horizontal="center" wrapText="1"/>
    </xf>
    <xf numFmtId="0" fontId="0" fillId="34" borderId="61" xfId="0" applyFill="1" applyBorder="1" applyAlignment="1">
      <alignment horizontal="center"/>
    </xf>
    <xf numFmtId="2" fontId="24" fillId="48" borderId="17" xfId="8" applyNumberFormat="1" applyFont="1" applyFill="1" applyBorder="1" applyAlignment="1">
      <alignment horizontal="center" wrapText="1"/>
    </xf>
    <xf numFmtId="2" fontId="24" fillId="34" borderId="17" xfId="8" applyNumberFormat="1" applyFont="1" applyFill="1" applyBorder="1" applyAlignment="1">
      <alignment horizontal="center" wrapText="1"/>
    </xf>
    <xf numFmtId="0" fontId="24" fillId="34" borderId="45" xfId="8" applyFont="1" applyFill="1" applyBorder="1" applyAlignment="1">
      <alignment horizontal="center" wrapText="1"/>
    </xf>
    <xf numFmtId="2" fontId="0" fillId="34" borderId="33" xfId="0" applyNumberFormat="1" applyFill="1" applyBorder="1" applyAlignment="1">
      <alignment horizontal="center"/>
    </xf>
    <xf numFmtId="2" fontId="0" fillId="34" borderId="17" xfId="0" applyNumberFormat="1" applyFill="1" applyBorder="1" applyAlignment="1">
      <alignment horizontal="center"/>
    </xf>
    <xf numFmtId="2" fontId="0" fillId="48" borderId="17" xfId="0" applyNumberFormat="1" applyFill="1" applyBorder="1" applyAlignment="1">
      <alignment horizontal="center"/>
    </xf>
    <xf numFmtId="2" fontId="0" fillId="34" borderId="45" xfId="0" applyNumberFormat="1" applyFill="1" applyBorder="1" applyAlignment="1">
      <alignment horizontal="center"/>
    </xf>
    <xf numFmtId="2" fontId="24" fillId="34" borderId="61" xfId="82" applyNumberFormat="1" applyFont="1" applyFill="1" applyBorder="1" applyAlignment="1">
      <alignment horizontal="center" wrapText="1"/>
    </xf>
    <xf numFmtId="2" fontId="24" fillId="34" borderId="33" xfId="82" applyNumberFormat="1" applyFont="1" applyFill="1" applyBorder="1" applyAlignment="1">
      <alignment horizontal="center" wrapText="1"/>
    </xf>
    <xf numFmtId="2" fontId="24" fillId="48" borderId="33" xfId="82" applyNumberFormat="1" applyFont="1" applyFill="1" applyBorder="1" applyAlignment="1">
      <alignment horizontal="center" wrapText="1"/>
    </xf>
    <xf numFmtId="2" fontId="24" fillId="34" borderId="44" xfId="82" applyNumberFormat="1" applyFont="1" applyFill="1" applyBorder="1" applyAlignment="1">
      <alignment horizontal="center" wrapText="1"/>
    </xf>
    <xf numFmtId="0" fontId="0" fillId="34" borderId="73" xfId="0" applyFill="1" applyBorder="1" applyAlignment="1">
      <alignment horizontal="center" vertical="center"/>
    </xf>
    <xf numFmtId="0" fontId="0" fillId="34" borderId="32" xfId="0" applyFill="1" applyBorder="1" applyAlignment="1">
      <alignment horizontal="center" vertical="center"/>
    </xf>
    <xf numFmtId="0" fontId="0" fillId="48" borderId="32" xfId="0" applyFill="1" applyBorder="1" applyAlignment="1">
      <alignment horizontal="center" vertical="center"/>
    </xf>
    <xf numFmtId="0" fontId="0" fillId="34" borderId="69" xfId="0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49" fontId="60" fillId="30" borderId="31" xfId="77" applyNumberFormat="1" applyFont="1" applyFill="1" applyBorder="1" applyAlignment="1">
      <alignment horizontal="center" vertical="center"/>
    </xf>
    <xf numFmtId="49" fontId="60" fillId="30" borderId="38" xfId="77" applyNumberFormat="1" applyFont="1" applyFill="1" applyBorder="1" applyAlignment="1">
      <alignment horizontal="center" vertical="center"/>
    </xf>
    <xf numFmtId="49" fontId="60" fillId="30" borderId="40" xfId="77" applyNumberFormat="1" applyFont="1" applyFill="1" applyBorder="1" applyAlignment="1">
      <alignment horizontal="center" vertical="center"/>
    </xf>
    <xf numFmtId="0" fontId="63" fillId="30" borderId="36" xfId="13" applyFont="1" applyFill="1" applyBorder="1" applyAlignment="1">
      <alignment horizontal="center" vertical="center"/>
    </xf>
    <xf numFmtId="0" fontId="63" fillId="30" borderId="39" xfId="13" applyFont="1" applyFill="1" applyBorder="1" applyAlignment="1">
      <alignment horizontal="center" vertical="center"/>
    </xf>
    <xf numFmtId="0" fontId="34" fillId="30" borderId="17" xfId="13" applyFont="1" applyFill="1" applyBorder="1" applyAlignment="1">
      <alignment horizontal="center" vertical="center"/>
    </xf>
    <xf numFmtId="0" fontId="34" fillId="30" borderId="32" xfId="13" applyFont="1" applyFill="1" applyBorder="1" applyAlignment="1">
      <alignment horizontal="center" vertical="center"/>
    </xf>
    <xf numFmtId="0" fontId="26" fillId="39" borderId="70" xfId="84" applyFont="1" applyFill="1" applyBorder="1" applyAlignment="1">
      <alignment horizontal="left"/>
    </xf>
    <xf numFmtId="0" fontId="26" fillId="39" borderId="71" xfId="84" applyFont="1" applyFill="1" applyBorder="1" applyAlignment="1">
      <alignment horizontal="left"/>
    </xf>
    <xf numFmtId="14" fontId="23" fillId="0" borderId="17" xfId="13" applyNumberFormat="1" applyBorder="1" applyAlignment="1">
      <alignment horizontal="center" vertical="center"/>
    </xf>
    <xf numFmtId="14" fontId="0" fillId="0" borderId="0" xfId="0" applyNumberFormat="1" applyFont="1"/>
  </cellXfs>
  <cellStyles count="108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9">
    <dxf>
      <fill>
        <patternFill>
          <bgColor indexed="15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552450</xdr:colOff>
      <xdr:row>47</xdr:row>
      <xdr:rowOff>47625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" cy="765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535290</xdr:colOff>
      <xdr:row>0</xdr:row>
      <xdr:rowOff>0</xdr:rowOff>
    </xdr:from>
    <xdr:to>
      <xdr:col>2</xdr:col>
      <xdr:colOff>322276</xdr:colOff>
      <xdr:row>47</xdr:row>
      <xdr:rowOff>47625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075" y="0"/>
          <a:ext cx="1085850" cy="7817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4540</xdr:colOff>
      <xdr:row>12</xdr:row>
      <xdr:rowOff>116486</xdr:rowOff>
    </xdr:from>
    <xdr:ext cx="405432" cy="774251"/>
    <xdr:sp macro="" textlink="">
      <xdr:nvSpPr>
        <xdr:cNvPr id="10" name="ZoneTexte 9"/>
        <xdr:cNvSpPr txBox="1"/>
      </xdr:nvSpPr>
      <xdr:spPr>
        <a:xfrm rot="16200000">
          <a:off x="-179870" y="2432115"/>
          <a:ext cx="77425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Rep</a:t>
          </a:r>
          <a:r>
            <a:rPr lang="fr-FR" sz="2000" baseline="0"/>
            <a:t> </a:t>
          </a:r>
          <a:r>
            <a:rPr lang="fr-FR" sz="2000"/>
            <a:t>2</a:t>
          </a:r>
        </a:p>
      </xdr:txBody>
    </xdr:sp>
    <xdr:clientData/>
  </xdr:oneCellAnchor>
  <xdr:oneCellAnchor>
    <xdr:from>
      <xdr:col>0</xdr:col>
      <xdr:colOff>14009</xdr:colOff>
      <xdr:row>10</xdr:row>
      <xdr:rowOff>139239</xdr:rowOff>
    </xdr:from>
    <xdr:ext cx="480196" cy="405432"/>
    <xdr:sp macro="" textlink="">
      <xdr:nvSpPr>
        <xdr:cNvPr id="11" name="ZoneTexte 10"/>
        <xdr:cNvSpPr txBox="1"/>
      </xdr:nvSpPr>
      <xdr:spPr>
        <a:xfrm>
          <a:off x="14009" y="1901364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N2</a:t>
          </a:r>
        </a:p>
      </xdr:txBody>
    </xdr:sp>
    <xdr:clientData/>
  </xdr:oneCellAnchor>
  <xdr:oneCellAnchor>
    <xdr:from>
      <xdr:col>0</xdr:col>
      <xdr:colOff>0</xdr:colOff>
      <xdr:row>22</xdr:row>
      <xdr:rowOff>173976</xdr:rowOff>
    </xdr:from>
    <xdr:ext cx="480196" cy="405432"/>
    <xdr:sp macro="" textlink="">
      <xdr:nvSpPr>
        <xdr:cNvPr id="12" name="ZoneTexte 11"/>
        <xdr:cNvSpPr txBox="1"/>
      </xdr:nvSpPr>
      <xdr:spPr>
        <a:xfrm>
          <a:off x="0" y="4098276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N2</a:t>
          </a:r>
        </a:p>
      </xdr:txBody>
    </xdr:sp>
    <xdr:clientData/>
  </xdr:oneCellAnchor>
  <xdr:oneCellAnchor>
    <xdr:from>
      <xdr:col>71</xdr:col>
      <xdr:colOff>266699</xdr:colOff>
      <xdr:row>3</xdr:row>
      <xdr:rowOff>110662</xdr:rowOff>
    </xdr:from>
    <xdr:ext cx="480196" cy="405432"/>
    <xdr:sp macro="" textlink="">
      <xdr:nvSpPr>
        <xdr:cNvPr id="13" name="ZoneTexte 12"/>
        <xdr:cNvSpPr txBox="1"/>
      </xdr:nvSpPr>
      <xdr:spPr>
        <a:xfrm>
          <a:off x="20421599" y="605962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N2</a:t>
          </a:r>
        </a:p>
      </xdr:txBody>
    </xdr:sp>
    <xdr:clientData/>
  </xdr:oneCellAnchor>
  <xdr:oneCellAnchor>
    <xdr:from>
      <xdr:col>71</xdr:col>
      <xdr:colOff>277904</xdr:colOff>
      <xdr:row>16</xdr:row>
      <xdr:rowOff>19895</xdr:rowOff>
    </xdr:from>
    <xdr:ext cx="480196" cy="405432"/>
    <xdr:sp macro="" textlink="">
      <xdr:nvSpPr>
        <xdr:cNvPr id="14" name="ZoneTexte 13"/>
        <xdr:cNvSpPr txBox="1"/>
      </xdr:nvSpPr>
      <xdr:spPr>
        <a:xfrm>
          <a:off x="20432804" y="2848820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N2</a:t>
          </a:r>
        </a:p>
      </xdr:txBody>
    </xdr:sp>
    <xdr:clientData/>
  </xdr:oneCellAnchor>
  <xdr:oneCellAnchor>
    <xdr:from>
      <xdr:col>71</xdr:col>
      <xdr:colOff>296956</xdr:colOff>
      <xdr:row>21</xdr:row>
      <xdr:rowOff>143720</xdr:rowOff>
    </xdr:from>
    <xdr:ext cx="480196" cy="405432"/>
    <xdr:sp macro="" textlink="">
      <xdr:nvSpPr>
        <xdr:cNvPr id="15" name="ZoneTexte 14"/>
        <xdr:cNvSpPr txBox="1"/>
      </xdr:nvSpPr>
      <xdr:spPr>
        <a:xfrm>
          <a:off x="20451856" y="3887045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N1</a:t>
          </a:r>
        </a:p>
      </xdr:txBody>
    </xdr:sp>
    <xdr:clientData/>
  </xdr:oneCellAnchor>
  <xdr:oneCellAnchor>
    <xdr:from>
      <xdr:col>71</xdr:col>
      <xdr:colOff>289110</xdr:colOff>
      <xdr:row>9</xdr:row>
      <xdr:rowOff>122989</xdr:rowOff>
    </xdr:from>
    <xdr:ext cx="480196" cy="405432"/>
    <xdr:sp macro="" textlink="">
      <xdr:nvSpPr>
        <xdr:cNvPr id="16" name="ZoneTexte 15"/>
        <xdr:cNvSpPr txBox="1"/>
      </xdr:nvSpPr>
      <xdr:spPr>
        <a:xfrm>
          <a:off x="20444010" y="1675564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N1</a:t>
          </a:r>
        </a:p>
      </xdr:txBody>
    </xdr:sp>
    <xdr:clientData/>
  </xdr:oneCellAnchor>
  <xdr:oneCellAnchor>
    <xdr:from>
      <xdr:col>0</xdr:col>
      <xdr:colOff>0</xdr:colOff>
      <xdr:row>4</xdr:row>
      <xdr:rowOff>169494</xdr:rowOff>
    </xdr:from>
    <xdr:ext cx="480196" cy="405432"/>
    <xdr:sp macro="" textlink="">
      <xdr:nvSpPr>
        <xdr:cNvPr id="17" name="ZoneTexte 16"/>
        <xdr:cNvSpPr txBox="1"/>
      </xdr:nvSpPr>
      <xdr:spPr>
        <a:xfrm>
          <a:off x="0" y="845769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N1</a:t>
          </a:r>
        </a:p>
      </xdr:txBody>
    </xdr:sp>
    <xdr:clientData/>
  </xdr:oneCellAnchor>
  <xdr:oneCellAnchor>
    <xdr:from>
      <xdr:col>0</xdr:col>
      <xdr:colOff>4484</xdr:colOff>
      <xdr:row>16</xdr:row>
      <xdr:rowOff>161650</xdr:rowOff>
    </xdr:from>
    <xdr:ext cx="480196" cy="405432"/>
    <xdr:sp macro="" textlink="">
      <xdr:nvSpPr>
        <xdr:cNvPr id="18" name="ZoneTexte 17"/>
        <xdr:cNvSpPr txBox="1"/>
      </xdr:nvSpPr>
      <xdr:spPr>
        <a:xfrm>
          <a:off x="4484" y="2990575"/>
          <a:ext cx="4801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N1</a:t>
          </a:r>
        </a:p>
      </xdr:txBody>
    </xdr:sp>
    <xdr:clientData/>
  </xdr:oneCellAnchor>
  <xdr:oneCellAnchor>
    <xdr:from>
      <xdr:col>0</xdr:col>
      <xdr:colOff>5438</xdr:colOff>
      <xdr:row>18</xdr:row>
      <xdr:rowOff>64274</xdr:rowOff>
    </xdr:from>
    <xdr:ext cx="405432" cy="774251"/>
    <xdr:sp macro="" textlink="">
      <xdr:nvSpPr>
        <xdr:cNvPr id="19" name="ZoneTexte 18"/>
        <xdr:cNvSpPr txBox="1"/>
      </xdr:nvSpPr>
      <xdr:spPr>
        <a:xfrm rot="16200000">
          <a:off x="-178972" y="3463372"/>
          <a:ext cx="77425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Rep</a:t>
          </a:r>
          <a:r>
            <a:rPr lang="fr-FR" sz="2000" baseline="0"/>
            <a:t> 3</a:t>
          </a:r>
          <a:endParaRPr lang="fr-FR" sz="2000"/>
        </a:p>
      </xdr:txBody>
    </xdr:sp>
    <xdr:clientData/>
  </xdr:oneCellAnchor>
  <xdr:oneCellAnchor>
    <xdr:from>
      <xdr:col>0</xdr:col>
      <xdr:colOff>2162</xdr:colOff>
      <xdr:row>24</xdr:row>
      <xdr:rowOff>116782</xdr:rowOff>
    </xdr:from>
    <xdr:ext cx="405432" cy="774251"/>
    <xdr:sp macro="" textlink="">
      <xdr:nvSpPr>
        <xdr:cNvPr id="24" name="ZoneTexte 23"/>
        <xdr:cNvSpPr txBox="1"/>
      </xdr:nvSpPr>
      <xdr:spPr>
        <a:xfrm rot="16200000">
          <a:off x="-182248" y="4599348"/>
          <a:ext cx="77425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Rep</a:t>
          </a:r>
          <a:r>
            <a:rPr lang="fr-FR" sz="2000" baseline="0"/>
            <a:t> 4</a:t>
          </a:r>
          <a:endParaRPr lang="fr-FR" sz="2000"/>
        </a:p>
      </xdr:txBody>
    </xdr:sp>
    <xdr:clientData/>
  </xdr:oneCellAnchor>
  <xdr:oneCellAnchor>
    <xdr:from>
      <xdr:col>0</xdr:col>
      <xdr:colOff>37878</xdr:colOff>
      <xdr:row>6</xdr:row>
      <xdr:rowOff>114105</xdr:rowOff>
    </xdr:from>
    <xdr:ext cx="405432" cy="774251"/>
    <xdr:sp macro="" textlink="">
      <xdr:nvSpPr>
        <xdr:cNvPr id="25" name="ZoneTexte 24"/>
        <xdr:cNvSpPr txBox="1"/>
      </xdr:nvSpPr>
      <xdr:spPr>
        <a:xfrm rot="16200000">
          <a:off x="-146532" y="1358171"/>
          <a:ext cx="77425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fr-FR" sz="2000"/>
            <a:t>Rep</a:t>
          </a:r>
          <a:r>
            <a:rPr lang="fr-FR" sz="2000" baseline="0"/>
            <a:t> 1</a:t>
          </a:r>
          <a:endParaRPr lang="fr-FR" sz="20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IV95"/>
  <sheetViews>
    <sheetView topLeftCell="A49" zoomScale="90" zoomScaleNormal="90" workbookViewId="0">
      <selection activeCell="C76" sqref="C76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59" t="s">
        <v>5</v>
      </c>
      <c r="B5" s="359"/>
      <c r="C5" s="359"/>
      <c r="D5" s="359"/>
      <c r="E5" s="359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60" t="s">
        <v>6</v>
      </c>
      <c r="B7" s="361" t="s">
        <v>7</v>
      </c>
      <c r="C7" s="361"/>
      <c r="D7" s="361"/>
      <c r="E7" s="361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60"/>
      <c r="B8" s="362" t="s">
        <v>8</v>
      </c>
      <c r="C8" s="362"/>
      <c r="D8" s="362"/>
      <c r="E8" s="362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60"/>
      <c r="B9" s="363" t="s">
        <v>9</v>
      </c>
      <c r="C9" s="363"/>
      <c r="D9" s="363"/>
      <c r="E9" s="363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64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64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65" t="s">
        <v>29</v>
      </c>
      <c r="B69" s="366" t="s">
        <v>196</v>
      </c>
      <c r="C69" s="87" t="s">
        <v>197</v>
      </c>
      <c r="D69" s="87" t="s">
        <v>198</v>
      </c>
      <c r="E69" s="358" t="s">
        <v>199</v>
      </c>
      <c r="F69" s="358" t="s">
        <v>200</v>
      </c>
      <c r="G69" s="358" t="s">
        <v>201</v>
      </c>
      <c r="H69" s="358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65"/>
      <c r="B70" s="366"/>
      <c r="C70" s="90" t="s">
        <v>204</v>
      </c>
      <c r="D70" s="90" t="s">
        <v>205</v>
      </c>
      <c r="E70" s="358"/>
      <c r="F70" s="358"/>
      <c r="G70" s="358"/>
      <c r="H70" s="358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 enableFormatConditionsCalculation="0">
    <tabColor indexed="10"/>
  </sheetPr>
  <dimension ref="A1:W4"/>
  <sheetViews>
    <sheetView zoomScale="95" zoomScaleNormal="95" workbookViewId="0">
      <selection activeCell="D6" sqref="D6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 ht="13.5" thickBot="1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03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 ht="15">
      <c r="A2" s="111" t="s">
        <v>7982</v>
      </c>
      <c r="B2" s="111" t="s">
        <v>7983</v>
      </c>
      <c r="C2" s="377">
        <v>41157</v>
      </c>
      <c r="D2" s="377" t="s">
        <v>8030</v>
      </c>
      <c r="G2" s="112" t="s">
        <v>7964</v>
      </c>
      <c r="I2" s="113" t="s">
        <v>55</v>
      </c>
      <c r="J2" s="113" t="s">
        <v>54</v>
      </c>
      <c r="L2" s="207" t="s">
        <v>7984</v>
      </c>
      <c r="N2" s="112" t="s">
        <v>7801</v>
      </c>
    </row>
    <row r="3" spans="1:23">
      <c r="R3" s="181"/>
      <c r="S3" s="181"/>
      <c r="T3" s="182"/>
      <c r="U3" s="182"/>
      <c r="V3" s="182"/>
      <c r="W3" s="182"/>
    </row>
    <row r="4" spans="1:23">
      <c r="R4" s="183"/>
      <c r="S4" s="183"/>
      <c r="T4" s="183"/>
      <c r="U4" s="183"/>
      <c r="V4" s="183"/>
      <c r="W4" s="183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 enableFormatConditionsCalculation="0">
    <tabColor indexed="10"/>
  </sheetPr>
  <dimension ref="A1:L2"/>
  <sheetViews>
    <sheetView workbookViewId="0">
      <selection activeCell="D8" sqref="D8"/>
    </sheetView>
  </sheetViews>
  <sheetFormatPr baseColWidth="10" defaultColWidth="10.7109375" defaultRowHeight="12.75"/>
  <cols>
    <col min="1" max="1" width="11.85546875" style="117" customWidth="1"/>
    <col min="2" max="2" width="16.5703125" style="118" bestFit="1" customWidth="1"/>
    <col min="3" max="3" width="14" style="118" bestFit="1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 ht="15.75">
      <c r="A2" s="117" t="s">
        <v>7980</v>
      </c>
      <c r="B2" s="251" t="s">
        <v>7985</v>
      </c>
      <c r="C2" s="118" t="s">
        <v>7986</v>
      </c>
      <c r="G2" s="117" t="s">
        <v>7981</v>
      </c>
      <c r="H2" s="206"/>
      <c r="I2" s="20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 enableFormatConditionsCalculation="0">
    <tabColor indexed="10"/>
  </sheetPr>
  <dimension ref="A1:X10"/>
  <sheetViews>
    <sheetView zoomScale="95" zoomScaleNormal="95" workbookViewId="0">
      <selection activeCell="D49" sqref="D49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5" t="s">
        <v>113</v>
      </c>
      <c r="B2" s="125" t="s">
        <v>7719</v>
      </c>
      <c r="C2" s="125" t="s">
        <v>7720</v>
      </c>
      <c r="F2" s="204" t="s">
        <v>7721</v>
      </c>
      <c r="G2" s="125" t="s">
        <v>119</v>
      </c>
      <c r="H2" s="205" t="s">
        <v>7722</v>
      </c>
    </row>
    <row r="3" spans="1:24">
      <c r="D3"/>
      <c r="E3"/>
      <c r="H3" s="191"/>
    </row>
    <row r="4" spans="1:24">
      <c r="D4" s="194"/>
      <c r="E4"/>
      <c r="H4" s="191"/>
    </row>
    <row r="8" spans="1:24">
      <c r="K8" s="184"/>
      <c r="L8" s="185"/>
      <c r="M8" s="185"/>
      <c r="N8" s="185"/>
      <c r="O8" s="182"/>
      <c r="P8" s="186"/>
      <c r="Q8" s="187"/>
      <c r="R8" s="188"/>
      <c r="S8" s="188"/>
      <c r="T8" s="188"/>
      <c r="U8" s="187"/>
      <c r="V8" s="188"/>
      <c r="W8" s="188"/>
      <c r="X8" s="187"/>
    </row>
    <row r="9" spans="1:24">
      <c r="L9" s="189"/>
      <c r="M9" s="189"/>
      <c r="N9" s="190"/>
      <c r="Q9" s="191"/>
      <c r="R9" s="191"/>
      <c r="S9" s="191"/>
      <c r="T9" s="192"/>
      <c r="U9" s="191"/>
      <c r="V9" s="191"/>
      <c r="W9" s="191"/>
      <c r="X9" s="193"/>
    </row>
    <row r="10" spans="1:24">
      <c r="K10" s="194"/>
      <c r="L10" s="189"/>
      <c r="M10" s="189"/>
      <c r="N10" s="190"/>
      <c r="O10" s="194"/>
      <c r="Q10" s="191"/>
      <c r="R10" s="191"/>
      <c r="S10" s="191"/>
      <c r="T10" s="192"/>
      <c r="U10" s="191"/>
      <c r="V10" s="191"/>
      <c r="W10" s="191"/>
      <c r="X10" s="193"/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 enableFormatConditionsCalculation="0">
    <tabColor indexed="10"/>
  </sheetPr>
  <dimension ref="A1:H48"/>
  <sheetViews>
    <sheetView topLeftCell="B1" zoomScale="70" zoomScaleNormal="70" workbookViewId="0">
      <selection activeCell="D21" sqref="D21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7447</v>
      </c>
      <c r="C2" s="168" t="s">
        <v>7448</v>
      </c>
      <c r="D2" s="169" t="s">
        <v>7449</v>
      </c>
      <c r="E2" s="169" t="s">
        <v>7450</v>
      </c>
      <c r="F2" s="169" t="s">
        <v>7451</v>
      </c>
      <c r="G2" s="170"/>
      <c r="H2" s="170"/>
    </row>
    <row r="3" spans="1:8" ht="38.25">
      <c r="A3" s="160" t="s">
        <v>244</v>
      </c>
      <c r="B3" s="160" t="s">
        <v>7452</v>
      </c>
      <c r="C3" s="161" t="s">
        <v>7453</v>
      </c>
      <c r="D3" s="162" t="s">
        <v>7454</v>
      </c>
      <c r="E3" s="162" t="s">
        <v>7455</v>
      </c>
      <c r="F3" s="163" t="s">
        <v>7456</v>
      </c>
      <c r="G3" s="164"/>
      <c r="H3" s="164"/>
    </row>
    <row r="4" spans="1:8" ht="38.25">
      <c r="A4" s="160" t="s">
        <v>244</v>
      </c>
      <c r="B4" s="160" t="s">
        <v>7457</v>
      </c>
      <c r="C4" s="161" t="s">
        <v>7458</v>
      </c>
      <c r="D4" s="162" t="s">
        <v>7459</v>
      </c>
      <c r="E4" s="162" t="s">
        <v>246</v>
      </c>
      <c r="F4" s="163" t="s">
        <v>7460</v>
      </c>
      <c r="G4" s="164"/>
      <c r="H4" s="164"/>
    </row>
    <row r="5" spans="1:8" ht="63.75">
      <c r="A5" s="160" t="s">
        <v>244</v>
      </c>
      <c r="B5" s="160" t="s">
        <v>7461</v>
      </c>
      <c r="C5" s="161" t="s">
        <v>7462</v>
      </c>
      <c r="D5" s="162" t="s">
        <v>7463</v>
      </c>
      <c r="E5" s="162" t="s">
        <v>247</v>
      </c>
      <c r="F5" s="163" t="s">
        <v>7464</v>
      </c>
      <c r="G5" s="164"/>
      <c r="H5" s="164"/>
    </row>
    <row r="6" spans="1:8" ht="38.25">
      <c r="A6" s="160" t="s">
        <v>244</v>
      </c>
      <c r="B6" s="160" t="s">
        <v>7465</v>
      </c>
      <c r="C6" s="161" t="s">
        <v>7466</v>
      </c>
      <c r="D6" s="162" t="s">
        <v>7467</v>
      </c>
      <c r="E6" s="162" t="s">
        <v>247</v>
      </c>
      <c r="F6" s="163" t="s">
        <v>7468</v>
      </c>
      <c r="G6" s="164"/>
      <c r="H6" s="164"/>
    </row>
    <row r="7" spans="1:8">
      <c r="A7" s="160" t="s">
        <v>244</v>
      </c>
      <c r="B7" s="160" t="s">
        <v>254</v>
      </c>
      <c r="C7" s="161" t="s">
        <v>7442</v>
      </c>
      <c r="D7" s="162" t="s">
        <v>7469</v>
      </c>
      <c r="E7" s="162" t="s">
        <v>7470</v>
      </c>
      <c r="F7" s="163" t="s">
        <v>7471</v>
      </c>
      <c r="G7" s="164"/>
      <c r="H7" s="164"/>
    </row>
    <row r="8" spans="1:8" ht="38.25">
      <c r="A8" s="160" t="s">
        <v>244</v>
      </c>
      <c r="B8" s="160" t="s">
        <v>7472</v>
      </c>
      <c r="C8" s="161" t="s">
        <v>7473</v>
      </c>
      <c r="D8" s="162" t="s">
        <v>7474</v>
      </c>
      <c r="E8" s="162" t="s">
        <v>245</v>
      </c>
      <c r="F8" s="163" t="s">
        <v>7475</v>
      </c>
      <c r="G8" s="164"/>
      <c r="H8" s="164"/>
    </row>
    <row r="9" spans="1:8" ht="25.5">
      <c r="A9" s="160" t="s">
        <v>244</v>
      </c>
      <c r="B9" s="160" t="s">
        <v>7476</v>
      </c>
      <c r="C9" s="161" t="s">
        <v>7477</v>
      </c>
      <c r="D9" s="162" t="s">
        <v>7478</v>
      </c>
      <c r="E9" s="162" t="s">
        <v>7455</v>
      </c>
      <c r="F9" s="163" t="s">
        <v>7479</v>
      </c>
      <c r="G9" s="164"/>
      <c r="H9" s="164"/>
    </row>
    <row r="10" spans="1:8">
      <c r="A10" s="160" t="s">
        <v>244</v>
      </c>
      <c r="B10" s="160" t="s">
        <v>253</v>
      </c>
      <c r="C10" s="161" t="s">
        <v>7441</v>
      </c>
      <c r="D10" s="162" t="s">
        <v>7480</v>
      </c>
      <c r="E10" s="162" t="s">
        <v>7470</v>
      </c>
      <c r="F10" s="163" t="s">
        <v>7481</v>
      </c>
      <c r="G10" s="164"/>
      <c r="H10" s="164"/>
    </row>
    <row r="11" spans="1:8">
      <c r="A11" s="160" t="s">
        <v>244</v>
      </c>
      <c r="B11" s="160" t="s">
        <v>251</v>
      </c>
      <c r="C11" s="161" t="s">
        <v>7482</v>
      </c>
      <c r="D11" s="162" t="s">
        <v>7483</v>
      </c>
      <c r="E11" s="162" t="s">
        <v>7484</v>
      </c>
      <c r="F11" s="163" t="s">
        <v>7485</v>
      </c>
      <c r="G11" s="164"/>
      <c r="H11" s="164"/>
    </row>
    <row r="12" spans="1:8" ht="25.5">
      <c r="A12" s="160" t="s">
        <v>244</v>
      </c>
      <c r="B12" s="160" t="s">
        <v>248</v>
      </c>
      <c r="C12" s="161" t="s">
        <v>7486</v>
      </c>
      <c r="D12" s="162" t="s">
        <v>7487</v>
      </c>
      <c r="E12" s="162" t="s">
        <v>7470</v>
      </c>
      <c r="F12" s="163" t="s">
        <v>7488</v>
      </c>
      <c r="G12" s="164"/>
      <c r="H12" s="164"/>
    </row>
    <row r="13" spans="1:8" ht="38.25">
      <c r="A13" s="160" t="s">
        <v>244</v>
      </c>
      <c r="B13" s="160" t="s">
        <v>7489</v>
      </c>
      <c r="C13" s="161" t="s">
        <v>7490</v>
      </c>
      <c r="D13" s="162" t="s">
        <v>7491</v>
      </c>
      <c r="E13" s="162" t="s">
        <v>7470</v>
      </c>
      <c r="F13" s="163" t="s">
        <v>7492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7493</v>
      </c>
      <c r="D14" s="162" t="s">
        <v>7494</v>
      </c>
      <c r="E14" s="162" t="s">
        <v>250</v>
      </c>
      <c r="F14" s="163" t="s">
        <v>7599</v>
      </c>
      <c r="G14" s="164"/>
      <c r="H14" s="164"/>
    </row>
    <row r="15" spans="1:8" ht="25.5">
      <c r="A15" s="160" t="s">
        <v>244</v>
      </c>
      <c r="B15" s="160" t="s">
        <v>7600</v>
      </c>
      <c r="C15" s="161" t="s">
        <v>7495</v>
      </c>
      <c r="D15" s="162" t="s">
        <v>7496</v>
      </c>
      <c r="E15" s="162" t="s">
        <v>143</v>
      </c>
      <c r="F15" s="163" t="s">
        <v>7497</v>
      </c>
      <c r="G15" s="164"/>
      <c r="H15" s="164"/>
    </row>
    <row r="16" spans="1:8" ht="60">
      <c r="A16" s="160" t="s">
        <v>244</v>
      </c>
      <c r="B16" s="160" t="s">
        <v>7498</v>
      </c>
      <c r="C16" s="161" t="s">
        <v>7499</v>
      </c>
      <c r="D16" s="162" t="s">
        <v>7500</v>
      </c>
      <c r="E16" s="162" t="s">
        <v>7501</v>
      </c>
      <c r="F16" s="163" t="s">
        <v>7502</v>
      </c>
      <c r="G16" s="164"/>
      <c r="H16" s="165"/>
    </row>
    <row r="17" spans="1:8" ht="36">
      <c r="A17" s="160" t="s">
        <v>244</v>
      </c>
      <c r="B17" s="160" t="s">
        <v>7503</v>
      </c>
      <c r="C17" s="161" t="s">
        <v>7504</v>
      </c>
      <c r="D17" s="162" t="s">
        <v>7505</v>
      </c>
      <c r="E17" s="162" t="s">
        <v>7506</v>
      </c>
      <c r="F17" s="163" t="s">
        <v>7502</v>
      </c>
      <c r="G17" s="164"/>
      <c r="H17" s="164"/>
    </row>
    <row r="18" spans="1:8" ht="36">
      <c r="A18" s="160" t="s">
        <v>244</v>
      </c>
      <c r="B18" s="160" t="s">
        <v>7507</v>
      </c>
      <c r="C18" s="161" t="s">
        <v>7508</v>
      </c>
      <c r="D18" s="162" t="s">
        <v>7509</v>
      </c>
      <c r="E18" s="162" t="s">
        <v>7506</v>
      </c>
      <c r="F18" s="163" t="s">
        <v>7502</v>
      </c>
      <c r="G18" s="164"/>
      <c r="H18" s="164"/>
    </row>
    <row r="19" spans="1:8" ht="114.75">
      <c r="A19" s="171" t="s">
        <v>244</v>
      </c>
      <c r="B19" s="171" t="s">
        <v>7510</v>
      </c>
      <c r="C19" s="172" t="s">
        <v>7511</v>
      </c>
      <c r="D19" s="173" t="s">
        <v>7512</v>
      </c>
      <c r="E19" s="173" t="s">
        <v>7506</v>
      </c>
      <c r="F19" s="174" t="s">
        <v>7513</v>
      </c>
      <c r="G19" s="175"/>
      <c r="H19" s="175"/>
    </row>
    <row r="20" spans="1:8" ht="36">
      <c r="A20" s="160" t="s">
        <v>244</v>
      </c>
      <c r="B20" s="160" t="s">
        <v>7514</v>
      </c>
      <c r="C20" s="161" t="s">
        <v>7515</v>
      </c>
      <c r="D20" s="166" t="s">
        <v>7516</v>
      </c>
      <c r="E20" s="162" t="s">
        <v>7506</v>
      </c>
      <c r="F20" s="163" t="s">
        <v>7502</v>
      </c>
      <c r="G20" s="164"/>
      <c r="H20" s="164"/>
    </row>
    <row r="21" spans="1:8" ht="36">
      <c r="A21" s="160" t="s">
        <v>244</v>
      </c>
      <c r="B21" s="160" t="s">
        <v>7517</v>
      </c>
      <c r="C21" s="161" t="s">
        <v>7518</v>
      </c>
      <c r="D21" s="162" t="s">
        <v>7519</v>
      </c>
      <c r="E21" s="162" t="s">
        <v>7506</v>
      </c>
      <c r="F21" s="163" t="s">
        <v>7502</v>
      </c>
      <c r="G21" s="164"/>
      <c r="H21" s="164"/>
    </row>
    <row r="22" spans="1:8" ht="36">
      <c r="A22" s="160" t="s">
        <v>244</v>
      </c>
      <c r="B22" s="160" t="s">
        <v>7520</v>
      </c>
      <c r="C22" s="161" t="s">
        <v>7521</v>
      </c>
      <c r="D22" s="162" t="s">
        <v>7522</v>
      </c>
      <c r="E22" s="162" t="s">
        <v>7506</v>
      </c>
      <c r="F22" s="163" t="s">
        <v>7502</v>
      </c>
      <c r="G22" s="164"/>
      <c r="H22" s="164"/>
    </row>
    <row r="23" spans="1:8" ht="76.5">
      <c r="A23" s="160" t="s">
        <v>244</v>
      </c>
      <c r="B23" s="160" t="s">
        <v>7523</v>
      </c>
      <c r="C23" s="161" t="s">
        <v>7524</v>
      </c>
      <c r="D23" s="162" t="s">
        <v>7525</v>
      </c>
      <c r="E23" s="162" t="s">
        <v>7506</v>
      </c>
      <c r="F23" s="163" t="s">
        <v>7526</v>
      </c>
      <c r="G23" s="164"/>
      <c r="H23" s="164"/>
    </row>
    <row r="24" spans="1:8" ht="36">
      <c r="A24" s="160" t="s">
        <v>244</v>
      </c>
      <c r="B24" s="160" t="s">
        <v>7527</v>
      </c>
      <c r="C24" s="161" t="s">
        <v>7528</v>
      </c>
      <c r="D24" s="162" t="s">
        <v>7529</v>
      </c>
      <c r="E24" s="162" t="s">
        <v>7506</v>
      </c>
      <c r="F24" s="163" t="s">
        <v>7502</v>
      </c>
      <c r="G24" s="164"/>
      <c r="H24" s="165"/>
    </row>
    <row r="25" spans="1:8" ht="89.25">
      <c r="A25" s="160" t="s">
        <v>244</v>
      </c>
      <c r="B25" s="160" t="s">
        <v>7530</v>
      </c>
      <c r="C25" s="161" t="s">
        <v>7531</v>
      </c>
      <c r="D25" s="162" t="s">
        <v>7532</v>
      </c>
      <c r="E25" s="162" t="s">
        <v>7506</v>
      </c>
      <c r="F25" s="163" t="s">
        <v>7533</v>
      </c>
      <c r="G25" s="164"/>
      <c r="H25" s="165"/>
    </row>
    <row r="26" spans="1:8" ht="38.25">
      <c r="A26" s="160" t="s">
        <v>244</v>
      </c>
      <c r="B26" s="160" t="s">
        <v>7534</v>
      </c>
      <c r="C26" s="161" t="s">
        <v>7535</v>
      </c>
      <c r="D26" s="162" t="s">
        <v>7536</v>
      </c>
      <c r="E26" s="162" t="s">
        <v>247</v>
      </c>
      <c r="F26" s="163" t="s">
        <v>7537</v>
      </c>
      <c r="G26" s="164"/>
      <c r="H26" s="165"/>
    </row>
    <row r="27" spans="1:8">
      <c r="A27" s="160" t="s">
        <v>244</v>
      </c>
      <c r="B27" s="160" t="s">
        <v>7538</v>
      </c>
      <c r="C27" s="161" t="s">
        <v>7539</v>
      </c>
      <c r="D27" s="162" t="s">
        <v>7540</v>
      </c>
      <c r="E27" s="162" t="s">
        <v>7541</v>
      </c>
      <c r="F27" s="163" t="s">
        <v>7542</v>
      </c>
      <c r="G27" s="164"/>
      <c r="H27" s="165"/>
    </row>
    <row r="28" spans="1:8">
      <c r="A28" s="160" t="s">
        <v>244</v>
      </c>
      <c r="B28" s="160" t="s">
        <v>7543</v>
      </c>
      <c r="C28" s="161" t="s">
        <v>7544</v>
      </c>
      <c r="D28" s="162" t="s">
        <v>7545</v>
      </c>
      <c r="E28" s="162" t="s">
        <v>7541</v>
      </c>
      <c r="F28" s="163" t="s">
        <v>7542</v>
      </c>
      <c r="G28" s="164"/>
      <c r="H28" s="165"/>
    </row>
    <row r="29" spans="1:8">
      <c r="A29" s="160" t="s">
        <v>244</v>
      </c>
      <c r="B29" s="160" t="s">
        <v>7546</v>
      </c>
      <c r="C29" s="161" t="s">
        <v>7547</v>
      </c>
      <c r="D29" s="162" t="s">
        <v>7548</v>
      </c>
      <c r="E29" s="162" t="s">
        <v>7541</v>
      </c>
      <c r="F29" s="163" t="s">
        <v>7542</v>
      </c>
      <c r="G29" s="164"/>
      <c r="H29" s="165"/>
    </row>
    <row r="30" spans="1:8">
      <c r="A30" s="160" t="s">
        <v>244</v>
      </c>
      <c r="B30" s="160" t="s">
        <v>7549</v>
      </c>
      <c r="C30" s="161" t="s">
        <v>7550</v>
      </c>
      <c r="D30" s="162" t="s">
        <v>7551</v>
      </c>
      <c r="E30" s="162" t="s">
        <v>7541</v>
      </c>
      <c r="F30" s="163" t="s">
        <v>7542</v>
      </c>
      <c r="G30" s="164"/>
      <c r="H30" s="165"/>
    </row>
    <row r="31" spans="1:8">
      <c r="A31" s="160" t="s">
        <v>244</v>
      </c>
      <c r="B31" s="160" t="s">
        <v>7552</v>
      </c>
      <c r="C31" s="161" t="s">
        <v>7553</v>
      </c>
      <c r="D31" s="162" t="s">
        <v>7554</v>
      </c>
      <c r="E31" s="162" t="s">
        <v>7541</v>
      </c>
      <c r="F31" s="163" t="s">
        <v>7542</v>
      </c>
      <c r="G31" s="164"/>
      <c r="H31" s="165"/>
    </row>
    <row r="32" spans="1:8">
      <c r="A32" s="160" t="s">
        <v>244</v>
      </c>
      <c r="B32" s="160" t="s">
        <v>7555</v>
      </c>
      <c r="C32" s="161" t="s">
        <v>7556</v>
      </c>
      <c r="D32" s="162" t="s">
        <v>7557</v>
      </c>
      <c r="E32" s="162" t="s">
        <v>7541</v>
      </c>
      <c r="F32" s="163" t="s">
        <v>7542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7558</v>
      </c>
      <c r="D33" s="162" t="s">
        <v>7559</v>
      </c>
      <c r="E33" s="162" t="s">
        <v>7560</v>
      </c>
      <c r="F33" s="163" t="s">
        <v>7542</v>
      </c>
      <c r="G33" s="164"/>
      <c r="H33" s="165"/>
    </row>
    <row r="34" spans="1:8" ht="24">
      <c r="A34" s="160" t="s">
        <v>244</v>
      </c>
      <c r="B34" s="160" t="s">
        <v>7561</v>
      </c>
      <c r="C34" s="161" t="s">
        <v>7562</v>
      </c>
      <c r="D34" s="162" t="s">
        <v>7563</v>
      </c>
      <c r="E34" s="162" t="s">
        <v>7560</v>
      </c>
      <c r="F34" s="163" t="s">
        <v>7542</v>
      </c>
      <c r="G34" s="164"/>
      <c r="H34" s="165"/>
    </row>
    <row r="35" spans="1:8">
      <c r="A35" s="160" t="s">
        <v>244</v>
      </c>
      <c r="B35" s="160" t="s">
        <v>7564</v>
      </c>
      <c r="C35" s="161" t="s">
        <v>7446</v>
      </c>
      <c r="D35" s="162" t="s">
        <v>7565</v>
      </c>
      <c r="E35" s="162" t="s">
        <v>7566</v>
      </c>
      <c r="F35" s="163" t="s">
        <v>7542</v>
      </c>
      <c r="G35" s="164"/>
      <c r="H35" s="165"/>
    </row>
    <row r="36" spans="1:8">
      <c r="A36" s="160" t="s">
        <v>244</v>
      </c>
      <c r="B36" s="160" t="s">
        <v>7567</v>
      </c>
      <c r="C36" s="161" t="s">
        <v>7568</v>
      </c>
      <c r="D36" s="162" t="s">
        <v>7569</v>
      </c>
      <c r="E36" s="162" t="s">
        <v>247</v>
      </c>
      <c r="F36" s="163" t="s">
        <v>7542</v>
      </c>
      <c r="G36" s="164"/>
      <c r="H36" s="164"/>
    </row>
    <row r="37" spans="1:8" ht="24">
      <c r="A37" s="160" t="s">
        <v>244</v>
      </c>
      <c r="B37" s="160" t="s">
        <v>7570</v>
      </c>
      <c r="C37" s="161" t="s">
        <v>7571</v>
      </c>
      <c r="D37" s="162" t="s">
        <v>7572</v>
      </c>
      <c r="E37" s="162" t="s">
        <v>7560</v>
      </c>
      <c r="F37" s="163" t="s">
        <v>7542</v>
      </c>
      <c r="G37" s="164"/>
      <c r="H37" s="164"/>
    </row>
    <row r="38" spans="1:8">
      <c r="A38" s="160" t="s">
        <v>244</v>
      </c>
      <c r="B38" s="160" t="s">
        <v>7573</v>
      </c>
      <c r="C38" s="161" t="s">
        <v>7574</v>
      </c>
      <c r="D38" s="162" t="s">
        <v>7575</v>
      </c>
      <c r="E38" s="162" t="s">
        <v>247</v>
      </c>
      <c r="F38" s="163" t="s">
        <v>7576</v>
      </c>
      <c r="G38" s="164"/>
      <c r="H38" s="164"/>
    </row>
    <row r="39" spans="1:8" ht="63.75">
      <c r="A39" s="160" t="s">
        <v>244</v>
      </c>
      <c r="B39" s="160" t="s">
        <v>7577</v>
      </c>
      <c r="C39" s="161" t="s">
        <v>7578</v>
      </c>
      <c r="D39" s="162" t="s">
        <v>7579</v>
      </c>
      <c r="E39" s="162" t="s">
        <v>247</v>
      </c>
      <c r="F39" s="163" t="s">
        <v>7580</v>
      </c>
      <c r="G39" s="164"/>
      <c r="H39" s="164"/>
    </row>
    <row r="40" spans="1:8" ht="63.75">
      <c r="A40" s="160" t="s">
        <v>244</v>
      </c>
      <c r="B40" s="160" t="s">
        <v>7581</v>
      </c>
      <c r="C40" s="161" t="s">
        <v>7445</v>
      </c>
      <c r="D40" s="162" t="s">
        <v>7582</v>
      </c>
      <c r="E40" s="162" t="s">
        <v>247</v>
      </c>
      <c r="F40" s="163" t="s">
        <v>7583</v>
      </c>
      <c r="G40" s="164"/>
      <c r="H40" s="164"/>
    </row>
    <row r="41" spans="1:8" ht="36">
      <c r="A41" s="160" t="s">
        <v>244</v>
      </c>
      <c r="B41" s="160" t="s">
        <v>7584</v>
      </c>
      <c r="C41" s="161" t="s">
        <v>7585</v>
      </c>
      <c r="D41" s="162" t="s">
        <v>7586</v>
      </c>
      <c r="E41" s="162" t="s">
        <v>7587</v>
      </c>
      <c r="F41" s="163" t="s">
        <v>7588</v>
      </c>
      <c r="G41" s="164"/>
      <c r="H41" s="164"/>
    </row>
    <row r="42" spans="1:8" ht="36">
      <c r="A42" s="160" t="s">
        <v>244</v>
      </c>
      <c r="B42" s="160" t="s">
        <v>7443</v>
      </c>
      <c r="C42" s="161" t="s">
        <v>7444</v>
      </c>
      <c r="D42" s="162" t="s">
        <v>7589</v>
      </c>
      <c r="E42" s="162" t="s">
        <v>7590</v>
      </c>
      <c r="F42" s="163" t="s">
        <v>7588</v>
      </c>
      <c r="G42" s="164"/>
      <c r="H42" s="164"/>
    </row>
    <row r="43" spans="1:8" ht="36">
      <c r="A43" s="160" t="s">
        <v>244</v>
      </c>
      <c r="B43" s="160" t="s">
        <v>7591</v>
      </c>
      <c r="C43" s="161" t="s">
        <v>7592</v>
      </c>
      <c r="D43" s="162" t="s">
        <v>7593</v>
      </c>
      <c r="E43" s="162" t="s">
        <v>7594</v>
      </c>
      <c r="F43" s="163" t="s">
        <v>7588</v>
      </c>
      <c r="G43" s="164"/>
      <c r="H43" s="164"/>
    </row>
    <row r="44" spans="1:8" ht="102">
      <c r="A44" s="160" t="s">
        <v>244</v>
      </c>
      <c r="B44" s="160" t="s">
        <v>7595</v>
      </c>
      <c r="C44" s="161" t="s">
        <v>7596</v>
      </c>
      <c r="D44" s="162" t="s">
        <v>7597</v>
      </c>
      <c r="E44" s="162" t="s">
        <v>7455</v>
      </c>
      <c r="F44" s="163" t="s">
        <v>7598</v>
      </c>
      <c r="G44" s="176"/>
      <c r="H44" s="176"/>
    </row>
    <row r="45" spans="1:8">
      <c r="A45" s="177"/>
      <c r="B45" s="177"/>
      <c r="C45" s="178"/>
      <c r="D45" s="178"/>
      <c r="E45" s="178"/>
      <c r="F45" s="178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 enableFormatConditionsCalculation="0">
    <tabColor indexed="10"/>
  </sheetPr>
  <dimension ref="A1:E118"/>
  <sheetViews>
    <sheetView topLeftCell="A11" zoomScale="95" zoomScaleNormal="95" workbookViewId="0">
      <selection activeCell="G7" sqref="G7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3" t="s">
        <v>7837</v>
      </c>
      <c r="C2" s="123" t="s">
        <v>7723</v>
      </c>
      <c r="D2" s="133"/>
      <c r="E2" s="123" t="s">
        <v>7837</v>
      </c>
    </row>
    <row r="3" spans="1:5">
      <c r="A3" s="132" t="s">
        <v>255</v>
      </c>
      <c r="B3" s="123" t="s">
        <v>7880</v>
      </c>
      <c r="C3" s="123" t="s">
        <v>7724</v>
      </c>
      <c r="E3" s="123" t="s">
        <v>7880</v>
      </c>
    </row>
    <row r="4" spans="1:5">
      <c r="A4" s="132" t="s">
        <v>255</v>
      </c>
      <c r="B4" s="123" t="s">
        <v>7881</v>
      </c>
      <c r="C4" s="123" t="s">
        <v>7725</v>
      </c>
      <c r="E4" s="123" t="s">
        <v>7881</v>
      </c>
    </row>
    <row r="5" spans="1:5">
      <c r="A5" s="132" t="s">
        <v>255</v>
      </c>
      <c r="B5" s="123" t="s">
        <v>7805</v>
      </c>
      <c r="C5" s="123" t="s">
        <v>7843</v>
      </c>
      <c r="E5" s="123" t="s">
        <v>7805</v>
      </c>
    </row>
    <row r="6" spans="1:5">
      <c r="A6" s="132" t="s">
        <v>255</v>
      </c>
      <c r="B6" s="123" t="s">
        <v>7882</v>
      </c>
      <c r="C6" s="123" t="s">
        <v>7726</v>
      </c>
      <c r="E6" s="123" t="s">
        <v>7882</v>
      </c>
    </row>
    <row r="7" spans="1:5">
      <c r="A7" s="132" t="s">
        <v>255</v>
      </c>
      <c r="B7" s="123" t="s">
        <v>7883</v>
      </c>
      <c r="C7" s="123" t="s">
        <v>7727</v>
      </c>
      <c r="E7" s="123" t="s">
        <v>7883</v>
      </c>
    </row>
    <row r="8" spans="1:5">
      <c r="A8" s="132" t="s">
        <v>255</v>
      </c>
      <c r="B8" s="123" t="s">
        <v>7808</v>
      </c>
      <c r="C8" s="123" t="s">
        <v>7728</v>
      </c>
      <c r="E8" s="123" t="s">
        <v>7808</v>
      </c>
    </row>
    <row r="9" spans="1:5">
      <c r="A9" s="132" t="s">
        <v>255</v>
      </c>
      <c r="B9" s="123" t="s">
        <v>7884</v>
      </c>
      <c r="C9" s="123" t="s">
        <v>7729</v>
      </c>
      <c r="E9" s="123" t="s">
        <v>7884</v>
      </c>
    </row>
    <row r="10" spans="1:5">
      <c r="A10" s="132" t="s">
        <v>255</v>
      </c>
      <c r="B10" s="123" t="s">
        <v>7885</v>
      </c>
      <c r="C10" s="123" t="s">
        <v>7730</v>
      </c>
      <c r="E10" s="123" t="s">
        <v>7885</v>
      </c>
    </row>
    <row r="11" spans="1:5">
      <c r="A11" s="132" t="s">
        <v>255</v>
      </c>
      <c r="B11" s="123" t="s">
        <v>7832</v>
      </c>
      <c r="C11" s="123" t="s">
        <v>7731</v>
      </c>
      <c r="E11" s="123" t="s">
        <v>7832</v>
      </c>
    </row>
    <row r="12" spans="1:5">
      <c r="A12" s="132" t="s">
        <v>255</v>
      </c>
      <c r="B12" s="123" t="s">
        <v>7886</v>
      </c>
      <c r="C12" s="123" t="s">
        <v>7732</v>
      </c>
      <c r="E12" s="123" t="s">
        <v>7886</v>
      </c>
    </row>
    <row r="13" spans="1:5">
      <c r="A13" s="132" t="s">
        <v>255</v>
      </c>
      <c r="B13" s="123" t="s">
        <v>7887</v>
      </c>
      <c r="C13" s="123" t="s">
        <v>7856</v>
      </c>
      <c r="E13" s="123" t="s">
        <v>7887</v>
      </c>
    </row>
    <row r="14" spans="1:5">
      <c r="A14" s="132" t="s">
        <v>255</v>
      </c>
      <c r="B14" s="123" t="s">
        <v>7823</v>
      </c>
      <c r="C14" s="123" t="s">
        <v>7733</v>
      </c>
      <c r="E14" s="123" t="s">
        <v>7823</v>
      </c>
    </row>
    <row r="15" spans="1:5">
      <c r="A15" s="132" t="s">
        <v>255</v>
      </c>
      <c r="B15" s="123" t="s">
        <v>7888</v>
      </c>
      <c r="C15" s="123" t="s">
        <v>7857</v>
      </c>
      <c r="E15" s="123" t="s">
        <v>7888</v>
      </c>
    </row>
    <row r="16" spans="1:5">
      <c r="A16" s="132" t="s">
        <v>255</v>
      </c>
      <c r="B16" s="123" t="s">
        <v>7889</v>
      </c>
      <c r="C16" s="123" t="s">
        <v>7734</v>
      </c>
      <c r="E16" s="123" t="s">
        <v>7889</v>
      </c>
    </row>
    <row r="17" spans="1:5">
      <c r="A17" s="132" t="s">
        <v>255</v>
      </c>
      <c r="B17" s="123" t="s">
        <v>7827</v>
      </c>
      <c r="C17" s="123" t="s">
        <v>7844</v>
      </c>
      <c r="E17" s="123" t="s">
        <v>7827</v>
      </c>
    </row>
    <row r="18" spans="1:5">
      <c r="A18" s="132" t="s">
        <v>255</v>
      </c>
      <c r="B18" s="123" t="s">
        <v>7890</v>
      </c>
      <c r="C18" s="123" t="s">
        <v>7858</v>
      </c>
      <c r="E18" s="123" t="s">
        <v>7890</v>
      </c>
    </row>
    <row r="19" spans="1:5">
      <c r="A19" s="132" t="s">
        <v>255</v>
      </c>
      <c r="B19" s="123" t="s">
        <v>7891</v>
      </c>
      <c r="C19" s="123" t="s">
        <v>7735</v>
      </c>
      <c r="E19" s="123" t="s">
        <v>7891</v>
      </c>
    </row>
    <row r="20" spans="1:5">
      <c r="A20" s="132" t="s">
        <v>255</v>
      </c>
      <c r="B20" s="123" t="s">
        <v>7815</v>
      </c>
      <c r="C20" s="123" t="s">
        <v>7736</v>
      </c>
      <c r="E20" s="123" t="s">
        <v>7815</v>
      </c>
    </row>
    <row r="21" spans="1:5">
      <c r="A21" s="132" t="s">
        <v>255</v>
      </c>
      <c r="B21" s="123" t="s">
        <v>7892</v>
      </c>
      <c r="C21" s="123" t="s">
        <v>7859</v>
      </c>
      <c r="E21" s="123" t="s">
        <v>7892</v>
      </c>
    </row>
    <row r="22" spans="1:5">
      <c r="A22" s="132" t="s">
        <v>255</v>
      </c>
      <c r="B22" s="123" t="s">
        <v>7893</v>
      </c>
      <c r="C22" s="123" t="s">
        <v>7737</v>
      </c>
      <c r="E22" s="123" t="s">
        <v>7893</v>
      </c>
    </row>
    <row r="23" spans="1:5">
      <c r="A23" s="132" t="s">
        <v>255</v>
      </c>
      <c r="B23" s="123" t="s">
        <v>7841</v>
      </c>
      <c r="C23" s="123" t="s">
        <v>7845</v>
      </c>
      <c r="E23" s="123" t="s">
        <v>7841</v>
      </c>
    </row>
    <row r="24" spans="1:5">
      <c r="A24" s="132" t="s">
        <v>255</v>
      </c>
      <c r="B24" s="123" t="s">
        <v>7894</v>
      </c>
      <c r="C24" s="123" t="s">
        <v>7860</v>
      </c>
      <c r="E24" s="123" t="s">
        <v>7894</v>
      </c>
    </row>
    <row r="25" spans="1:5">
      <c r="A25" s="132" t="s">
        <v>255</v>
      </c>
      <c r="B25" s="123" t="s">
        <v>7895</v>
      </c>
      <c r="C25" s="123" t="s">
        <v>7738</v>
      </c>
      <c r="E25" s="123" t="s">
        <v>7895</v>
      </c>
    </row>
    <row r="26" spans="1:5">
      <c r="A26" s="132" t="s">
        <v>255</v>
      </c>
      <c r="B26" s="123" t="s">
        <v>7833</v>
      </c>
      <c r="C26" s="123" t="s">
        <v>7739</v>
      </c>
      <c r="E26" s="123" t="s">
        <v>7833</v>
      </c>
    </row>
    <row r="27" spans="1:5">
      <c r="A27" s="132" t="s">
        <v>255</v>
      </c>
      <c r="B27" s="123" t="s">
        <v>7896</v>
      </c>
      <c r="C27" s="123" t="s">
        <v>7861</v>
      </c>
      <c r="E27" s="123" t="s">
        <v>7896</v>
      </c>
    </row>
    <row r="28" spans="1:5">
      <c r="A28" s="132" t="s">
        <v>255</v>
      </c>
      <c r="B28" s="123" t="s">
        <v>7897</v>
      </c>
      <c r="C28" s="123" t="s">
        <v>7740</v>
      </c>
      <c r="E28" s="123" t="s">
        <v>7897</v>
      </c>
    </row>
    <row r="29" spans="1:5">
      <c r="A29" s="132" t="s">
        <v>255</v>
      </c>
      <c r="B29" s="123" t="s">
        <v>7835</v>
      </c>
      <c r="C29" s="123" t="s">
        <v>7741</v>
      </c>
      <c r="E29" s="123" t="s">
        <v>7835</v>
      </c>
    </row>
    <row r="30" spans="1:5">
      <c r="A30" s="132" t="s">
        <v>255</v>
      </c>
      <c r="B30" s="123" t="s">
        <v>7898</v>
      </c>
      <c r="C30" s="123" t="s">
        <v>7742</v>
      </c>
      <c r="E30" s="123" t="s">
        <v>7898</v>
      </c>
    </row>
    <row r="31" spans="1:5">
      <c r="A31" s="132" t="s">
        <v>255</v>
      </c>
      <c r="B31" s="123" t="s">
        <v>7899</v>
      </c>
      <c r="C31" s="123" t="s">
        <v>7743</v>
      </c>
      <c r="E31" s="123" t="s">
        <v>7899</v>
      </c>
    </row>
    <row r="32" spans="1:5">
      <c r="A32" s="132" t="s">
        <v>255</v>
      </c>
      <c r="B32" s="123" t="s">
        <v>7818</v>
      </c>
      <c r="C32" s="123" t="s">
        <v>7744</v>
      </c>
      <c r="E32" s="123" t="s">
        <v>7818</v>
      </c>
    </row>
    <row r="33" spans="1:5">
      <c r="A33" s="132" t="s">
        <v>255</v>
      </c>
      <c r="B33" s="123" t="s">
        <v>7900</v>
      </c>
      <c r="C33" s="123" t="s">
        <v>7745</v>
      </c>
      <c r="E33" s="123" t="s">
        <v>7900</v>
      </c>
    </row>
    <row r="34" spans="1:5">
      <c r="A34" s="132" t="s">
        <v>255</v>
      </c>
      <c r="B34" s="123" t="s">
        <v>7901</v>
      </c>
      <c r="C34" s="123" t="s">
        <v>7862</v>
      </c>
      <c r="E34" s="123" t="s">
        <v>7901</v>
      </c>
    </row>
    <row r="35" spans="1:5">
      <c r="A35" s="132" t="s">
        <v>255</v>
      </c>
      <c r="B35" s="123" t="s">
        <v>7819</v>
      </c>
      <c r="C35" s="123" t="s">
        <v>7746</v>
      </c>
      <c r="E35" s="123" t="s">
        <v>7819</v>
      </c>
    </row>
    <row r="36" spans="1:5">
      <c r="A36" s="132" t="s">
        <v>255</v>
      </c>
      <c r="B36" s="123" t="s">
        <v>7902</v>
      </c>
      <c r="C36" s="123" t="s">
        <v>7747</v>
      </c>
      <c r="E36" s="123" t="s">
        <v>7902</v>
      </c>
    </row>
    <row r="37" spans="1:5">
      <c r="A37" s="132" t="s">
        <v>255</v>
      </c>
      <c r="B37" s="123" t="s">
        <v>7903</v>
      </c>
      <c r="C37" s="123" t="s">
        <v>7748</v>
      </c>
      <c r="E37" s="123" t="s">
        <v>7903</v>
      </c>
    </row>
    <row r="38" spans="1:5">
      <c r="A38" s="132" t="s">
        <v>255</v>
      </c>
      <c r="B38" s="123" t="s">
        <v>7822</v>
      </c>
      <c r="C38" s="123" t="s">
        <v>7749</v>
      </c>
      <c r="E38" s="123" t="s">
        <v>7822</v>
      </c>
    </row>
    <row r="39" spans="1:5">
      <c r="A39" s="132" t="s">
        <v>255</v>
      </c>
      <c r="B39" s="123" t="s">
        <v>7904</v>
      </c>
      <c r="C39" s="123" t="s">
        <v>7863</v>
      </c>
      <c r="E39" s="123" t="s">
        <v>7904</v>
      </c>
    </row>
    <row r="40" spans="1:5">
      <c r="A40" s="132" t="s">
        <v>255</v>
      </c>
      <c r="B40" s="123" t="s">
        <v>7905</v>
      </c>
      <c r="C40" s="123" t="s">
        <v>7864</v>
      </c>
      <c r="E40" s="123" t="s">
        <v>7905</v>
      </c>
    </row>
    <row r="41" spans="1:5">
      <c r="A41" s="132" t="s">
        <v>255</v>
      </c>
      <c r="B41" s="125" t="s">
        <v>7834</v>
      </c>
      <c r="C41" s="125" t="s">
        <v>7846</v>
      </c>
      <c r="E41" s="125" t="s">
        <v>7834</v>
      </c>
    </row>
    <row r="42" spans="1:5">
      <c r="A42" s="132" t="s">
        <v>255</v>
      </c>
      <c r="B42" s="123" t="s">
        <v>7906</v>
      </c>
      <c r="C42" s="123" t="s">
        <v>7750</v>
      </c>
      <c r="E42" s="123" t="s">
        <v>7906</v>
      </c>
    </row>
    <row r="43" spans="1:5">
      <c r="A43" s="132" t="s">
        <v>255</v>
      </c>
      <c r="B43" s="123" t="s">
        <v>7907</v>
      </c>
      <c r="C43" s="123" t="s">
        <v>7751</v>
      </c>
      <c r="E43" s="123" t="s">
        <v>7907</v>
      </c>
    </row>
    <row r="44" spans="1:5">
      <c r="A44" s="132" t="s">
        <v>255</v>
      </c>
      <c r="B44" s="123" t="s">
        <v>7821</v>
      </c>
      <c r="C44" s="123" t="s">
        <v>7752</v>
      </c>
      <c r="E44" s="123" t="s">
        <v>7821</v>
      </c>
    </row>
    <row r="45" spans="1:5">
      <c r="A45" s="132" t="s">
        <v>255</v>
      </c>
      <c r="B45" s="123" t="s">
        <v>7908</v>
      </c>
      <c r="C45" s="123" t="s">
        <v>7865</v>
      </c>
      <c r="E45" s="123" t="s">
        <v>7908</v>
      </c>
    </row>
    <row r="46" spans="1:5">
      <c r="A46" s="132" t="s">
        <v>255</v>
      </c>
      <c r="B46" s="123" t="s">
        <v>7909</v>
      </c>
      <c r="C46" s="123" t="s">
        <v>7866</v>
      </c>
      <c r="E46" s="123" t="s">
        <v>7909</v>
      </c>
    </row>
    <row r="47" spans="1:5">
      <c r="A47" s="132" t="s">
        <v>255</v>
      </c>
      <c r="B47" s="123" t="s">
        <v>7842</v>
      </c>
      <c r="C47" s="123" t="s">
        <v>7753</v>
      </c>
      <c r="E47" s="123" t="s">
        <v>7842</v>
      </c>
    </row>
    <row r="48" spans="1:5">
      <c r="A48" s="132" t="s">
        <v>255</v>
      </c>
      <c r="B48" s="123" t="s">
        <v>7910</v>
      </c>
      <c r="C48" s="123" t="s">
        <v>7754</v>
      </c>
      <c r="E48" s="123" t="s">
        <v>7910</v>
      </c>
    </row>
    <row r="49" spans="1:5">
      <c r="A49" s="132" t="s">
        <v>255</v>
      </c>
      <c r="B49" s="123" t="s">
        <v>7911</v>
      </c>
      <c r="C49" s="123" t="s">
        <v>7867</v>
      </c>
      <c r="E49" s="123" t="s">
        <v>7911</v>
      </c>
    </row>
    <row r="50" spans="1:5">
      <c r="A50" s="132" t="s">
        <v>255</v>
      </c>
      <c r="B50" s="123" t="s">
        <v>7813</v>
      </c>
      <c r="C50" s="123" t="s">
        <v>7755</v>
      </c>
      <c r="E50" s="123" t="s">
        <v>7813</v>
      </c>
    </row>
    <row r="51" spans="1:5">
      <c r="A51" s="132" t="s">
        <v>255</v>
      </c>
      <c r="B51" s="123" t="s">
        <v>7912</v>
      </c>
      <c r="C51" s="123" t="s">
        <v>7756</v>
      </c>
      <c r="E51" s="123" t="s">
        <v>7912</v>
      </c>
    </row>
    <row r="52" spans="1:5">
      <c r="A52" s="132" t="s">
        <v>255</v>
      </c>
      <c r="B52" s="123" t="s">
        <v>7913</v>
      </c>
      <c r="C52" s="123" t="s">
        <v>7757</v>
      </c>
      <c r="E52" s="123" t="s">
        <v>7913</v>
      </c>
    </row>
    <row r="53" spans="1:5">
      <c r="A53" s="132" t="s">
        <v>255</v>
      </c>
      <c r="B53" s="123" t="s">
        <v>7814</v>
      </c>
      <c r="C53" s="123" t="s">
        <v>7847</v>
      </c>
      <c r="E53" s="123" t="s">
        <v>7814</v>
      </c>
    </row>
    <row r="54" spans="1:5">
      <c r="A54" s="132" t="s">
        <v>255</v>
      </c>
      <c r="B54" s="123" t="s">
        <v>7914</v>
      </c>
      <c r="C54" s="123" t="s">
        <v>7758</v>
      </c>
      <c r="E54" s="123" t="s">
        <v>7914</v>
      </c>
    </row>
    <row r="55" spans="1:5">
      <c r="A55" s="132" t="s">
        <v>255</v>
      </c>
      <c r="B55" s="123" t="s">
        <v>7915</v>
      </c>
      <c r="C55" s="123" t="s">
        <v>7868</v>
      </c>
      <c r="E55" s="123" t="s">
        <v>7915</v>
      </c>
    </row>
    <row r="56" spans="1:5">
      <c r="A56" s="132" t="s">
        <v>255</v>
      </c>
      <c r="B56" s="123" t="s">
        <v>7825</v>
      </c>
      <c r="C56" s="123" t="s">
        <v>7759</v>
      </c>
      <c r="E56" s="123" t="s">
        <v>7825</v>
      </c>
    </row>
    <row r="57" spans="1:5">
      <c r="A57" s="132" t="s">
        <v>255</v>
      </c>
      <c r="B57" s="123" t="s">
        <v>7916</v>
      </c>
      <c r="C57" s="123" t="s">
        <v>7760</v>
      </c>
      <c r="E57" s="123" t="s">
        <v>7916</v>
      </c>
    </row>
    <row r="58" spans="1:5">
      <c r="A58" s="132" t="s">
        <v>255</v>
      </c>
      <c r="B58" s="123" t="s">
        <v>7917</v>
      </c>
      <c r="C58" s="123" t="s">
        <v>7761</v>
      </c>
      <c r="E58" s="123" t="s">
        <v>7917</v>
      </c>
    </row>
    <row r="59" spans="1:5">
      <c r="A59" s="132" t="s">
        <v>255</v>
      </c>
      <c r="B59" s="123" t="s">
        <v>7810</v>
      </c>
      <c r="C59" s="123" t="s">
        <v>7848</v>
      </c>
      <c r="E59" s="123" t="s">
        <v>7810</v>
      </c>
    </row>
    <row r="60" spans="1:5">
      <c r="A60" s="132" t="s">
        <v>255</v>
      </c>
      <c r="B60" s="123" t="s">
        <v>7918</v>
      </c>
      <c r="C60" s="123" t="s">
        <v>7762</v>
      </c>
      <c r="E60" s="123" t="s">
        <v>7918</v>
      </c>
    </row>
    <row r="61" spans="1:5">
      <c r="A61" s="132" t="s">
        <v>255</v>
      </c>
      <c r="B61" s="123" t="s">
        <v>7919</v>
      </c>
      <c r="C61" s="123" t="s">
        <v>7763</v>
      </c>
      <c r="E61" s="123" t="s">
        <v>7919</v>
      </c>
    </row>
    <row r="62" spans="1:5">
      <c r="A62" s="132" t="s">
        <v>255</v>
      </c>
      <c r="B62" s="123" t="s">
        <v>7811</v>
      </c>
      <c r="C62" s="123" t="s">
        <v>7764</v>
      </c>
      <c r="E62" s="123" t="s">
        <v>7811</v>
      </c>
    </row>
    <row r="63" spans="1:5">
      <c r="A63" s="132" t="s">
        <v>255</v>
      </c>
      <c r="B63" s="123" t="s">
        <v>7920</v>
      </c>
      <c r="C63" s="123" t="s">
        <v>7765</v>
      </c>
      <c r="E63" s="123" t="s">
        <v>7920</v>
      </c>
    </row>
    <row r="64" spans="1:5">
      <c r="A64" s="132" t="s">
        <v>255</v>
      </c>
      <c r="B64" s="123" t="s">
        <v>7921</v>
      </c>
      <c r="C64" s="123" t="s">
        <v>7766</v>
      </c>
      <c r="E64" s="123" t="s">
        <v>7921</v>
      </c>
    </row>
    <row r="65" spans="1:5">
      <c r="A65" s="132" t="s">
        <v>255</v>
      </c>
      <c r="B65" s="123" t="s">
        <v>7802</v>
      </c>
      <c r="C65" s="123" t="s">
        <v>7767</v>
      </c>
      <c r="E65" s="123" t="s">
        <v>7802</v>
      </c>
    </row>
    <row r="66" spans="1:5">
      <c r="A66" s="132" t="s">
        <v>255</v>
      </c>
      <c r="B66" s="123" t="s">
        <v>7922</v>
      </c>
      <c r="C66" s="123" t="s">
        <v>7768</v>
      </c>
      <c r="E66" s="123" t="s">
        <v>7922</v>
      </c>
    </row>
    <row r="67" spans="1:5">
      <c r="A67" s="132" t="s">
        <v>255</v>
      </c>
      <c r="B67" s="123" t="s">
        <v>7923</v>
      </c>
      <c r="C67" s="123" t="s">
        <v>7869</v>
      </c>
      <c r="E67" s="123" t="s">
        <v>7923</v>
      </c>
    </row>
    <row r="68" spans="1:5">
      <c r="A68" s="132" t="s">
        <v>255</v>
      </c>
      <c r="B68" s="123" t="s">
        <v>7803</v>
      </c>
      <c r="C68" s="123" t="s">
        <v>7769</v>
      </c>
      <c r="E68" s="123" t="s">
        <v>7803</v>
      </c>
    </row>
    <row r="69" spans="1:5">
      <c r="A69" s="132" t="s">
        <v>255</v>
      </c>
      <c r="B69" s="123" t="s">
        <v>7924</v>
      </c>
      <c r="C69" s="123" t="s">
        <v>7770</v>
      </c>
      <c r="E69" s="123" t="s">
        <v>7924</v>
      </c>
    </row>
    <row r="70" spans="1:5">
      <c r="A70" s="132" t="s">
        <v>255</v>
      </c>
      <c r="B70" s="123" t="s">
        <v>7925</v>
      </c>
      <c r="C70" s="123" t="s">
        <v>7771</v>
      </c>
      <c r="E70" s="123" t="s">
        <v>7925</v>
      </c>
    </row>
    <row r="71" spans="1:5">
      <c r="A71" s="132" t="s">
        <v>255</v>
      </c>
      <c r="B71" s="123" t="s">
        <v>7838</v>
      </c>
      <c r="C71" s="123" t="s">
        <v>7772</v>
      </c>
      <c r="E71" s="123" t="s">
        <v>7838</v>
      </c>
    </row>
    <row r="72" spans="1:5">
      <c r="A72" s="132" t="s">
        <v>255</v>
      </c>
      <c r="B72" s="123" t="s">
        <v>7926</v>
      </c>
      <c r="C72" s="123" t="s">
        <v>7773</v>
      </c>
      <c r="E72" s="123" t="s">
        <v>7926</v>
      </c>
    </row>
    <row r="73" spans="1:5">
      <c r="A73" s="132" t="s">
        <v>255</v>
      </c>
      <c r="B73" s="123" t="s">
        <v>7927</v>
      </c>
      <c r="C73" s="123" t="s">
        <v>7774</v>
      </c>
      <c r="E73" s="123" t="s">
        <v>7927</v>
      </c>
    </row>
    <row r="74" spans="1:5">
      <c r="A74" s="132" t="s">
        <v>255</v>
      </c>
      <c r="B74" s="123" t="s">
        <v>7820</v>
      </c>
      <c r="C74" s="123" t="s">
        <v>7849</v>
      </c>
      <c r="E74" s="123" t="s">
        <v>7820</v>
      </c>
    </row>
    <row r="75" spans="1:5">
      <c r="A75" s="132" t="s">
        <v>255</v>
      </c>
      <c r="B75" s="123" t="s">
        <v>7928</v>
      </c>
      <c r="C75" s="123" t="s">
        <v>7870</v>
      </c>
      <c r="E75" s="123" t="s">
        <v>7928</v>
      </c>
    </row>
    <row r="76" spans="1:5">
      <c r="A76" s="132" t="s">
        <v>255</v>
      </c>
      <c r="B76" s="123" t="s">
        <v>7929</v>
      </c>
      <c r="C76" s="123" t="s">
        <v>7775</v>
      </c>
      <c r="E76" s="123" t="s">
        <v>7929</v>
      </c>
    </row>
    <row r="77" spans="1:5">
      <c r="A77" s="132" t="s">
        <v>255</v>
      </c>
      <c r="B77" s="123" t="s">
        <v>7840</v>
      </c>
      <c r="C77" s="123" t="s">
        <v>7776</v>
      </c>
      <c r="E77" s="123" t="s">
        <v>7840</v>
      </c>
    </row>
    <row r="78" spans="1:5">
      <c r="A78" s="132" t="s">
        <v>255</v>
      </c>
      <c r="B78" s="123" t="s">
        <v>7930</v>
      </c>
      <c r="C78" s="123" t="s">
        <v>7777</v>
      </c>
      <c r="E78" s="123" t="s">
        <v>7930</v>
      </c>
    </row>
    <row r="79" spans="1:5">
      <c r="A79" s="132" t="s">
        <v>255</v>
      </c>
      <c r="B79" s="123" t="s">
        <v>7931</v>
      </c>
      <c r="C79" s="123" t="s">
        <v>7778</v>
      </c>
      <c r="E79" s="123" t="s">
        <v>7931</v>
      </c>
    </row>
    <row r="80" spans="1:5">
      <c r="A80" s="132" t="s">
        <v>255</v>
      </c>
      <c r="B80" s="123" t="s">
        <v>7829</v>
      </c>
      <c r="C80" s="123" t="s">
        <v>7779</v>
      </c>
      <c r="E80" s="123" t="s">
        <v>7829</v>
      </c>
    </row>
    <row r="81" spans="1:5">
      <c r="A81" s="132" t="s">
        <v>255</v>
      </c>
      <c r="B81" s="123" t="s">
        <v>7932</v>
      </c>
      <c r="C81" s="123" t="s">
        <v>7780</v>
      </c>
      <c r="E81" s="123" t="s">
        <v>7932</v>
      </c>
    </row>
    <row r="82" spans="1:5">
      <c r="A82" s="132" t="s">
        <v>255</v>
      </c>
      <c r="B82" s="123" t="s">
        <v>7933</v>
      </c>
      <c r="C82" s="123" t="s">
        <v>7871</v>
      </c>
      <c r="E82" s="123" t="s">
        <v>7933</v>
      </c>
    </row>
    <row r="83" spans="1:5">
      <c r="A83" s="132" t="s">
        <v>255</v>
      </c>
      <c r="B83" s="123" t="s">
        <v>7807</v>
      </c>
      <c r="C83" s="123" t="s">
        <v>7781</v>
      </c>
      <c r="E83" s="123" t="s">
        <v>7807</v>
      </c>
    </row>
    <row r="84" spans="1:5">
      <c r="A84" s="132" t="s">
        <v>255</v>
      </c>
      <c r="B84" s="123" t="s">
        <v>7934</v>
      </c>
      <c r="C84" s="123" t="s">
        <v>7782</v>
      </c>
      <c r="E84" s="123" t="s">
        <v>7934</v>
      </c>
    </row>
    <row r="85" spans="1:5">
      <c r="A85" s="132" t="s">
        <v>255</v>
      </c>
      <c r="B85" s="123" t="s">
        <v>7935</v>
      </c>
      <c r="C85" s="123" t="s">
        <v>7872</v>
      </c>
      <c r="E85" s="123" t="s">
        <v>7935</v>
      </c>
    </row>
    <row r="86" spans="1:5">
      <c r="A86" s="132" t="s">
        <v>255</v>
      </c>
      <c r="B86" s="123" t="s">
        <v>7816</v>
      </c>
      <c r="C86" s="123" t="s">
        <v>7850</v>
      </c>
      <c r="E86" s="123" t="s">
        <v>7816</v>
      </c>
    </row>
    <row r="87" spans="1:5">
      <c r="A87" s="132" t="s">
        <v>255</v>
      </c>
      <c r="B87" s="123" t="s">
        <v>7936</v>
      </c>
      <c r="C87" s="123" t="s">
        <v>7783</v>
      </c>
      <c r="E87" s="123" t="s">
        <v>7936</v>
      </c>
    </row>
    <row r="88" spans="1:5">
      <c r="A88" s="132" t="s">
        <v>255</v>
      </c>
      <c r="B88" s="123" t="s">
        <v>7937</v>
      </c>
      <c r="C88" s="123" t="s">
        <v>7873</v>
      </c>
      <c r="E88" s="123" t="s">
        <v>7937</v>
      </c>
    </row>
    <row r="89" spans="1:5">
      <c r="A89" s="132" t="s">
        <v>255</v>
      </c>
      <c r="B89" s="123" t="s">
        <v>7830</v>
      </c>
      <c r="C89" s="123" t="s">
        <v>7851</v>
      </c>
      <c r="E89" s="123" t="s">
        <v>7830</v>
      </c>
    </row>
    <row r="90" spans="1:5">
      <c r="A90" s="132" t="s">
        <v>255</v>
      </c>
      <c r="B90" s="123" t="s">
        <v>7938</v>
      </c>
      <c r="C90" s="123" t="s">
        <v>7784</v>
      </c>
      <c r="E90" s="123" t="s">
        <v>7938</v>
      </c>
    </row>
    <row r="91" spans="1:5">
      <c r="A91" s="132" t="s">
        <v>255</v>
      </c>
      <c r="B91" s="123" t="s">
        <v>7939</v>
      </c>
      <c r="C91" s="123" t="s">
        <v>7785</v>
      </c>
      <c r="E91" s="123" t="s">
        <v>7939</v>
      </c>
    </row>
    <row r="92" spans="1:5">
      <c r="A92" s="132" t="s">
        <v>255</v>
      </c>
      <c r="B92" s="123" t="s">
        <v>7817</v>
      </c>
      <c r="C92" s="123" t="s">
        <v>7786</v>
      </c>
      <c r="E92" s="123" t="s">
        <v>7817</v>
      </c>
    </row>
    <row r="93" spans="1:5">
      <c r="A93" s="132" t="s">
        <v>255</v>
      </c>
      <c r="B93" s="123" t="s">
        <v>7940</v>
      </c>
      <c r="C93" s="123" t="s">
        <v>7874</v>
      </c>
      <c r="E93" s="123" t="s">
        <v>7940</v>
      </c>
    </row>
    <row r="94" spans="1:5">
      <c r="A94" s="132" t="s">
        <v>255</v>
      </c>
      <c r="B94" s="123" t="s">
        <v>7941</v>
      </c>
      <c r="C94" s="123" t="s">
        <v>7787</v>
      </c>
      <c r="E94" s="123" t="s">
        <v>7941</v>
      </c>
    </row>
    <row r="95" spans="1:5">
      <c r="A95" s="132" t="s">
        <v>255</v>
      </c>
      <c r="B95" s="123" t="s">
        <v>7806</v>
      </c>
      <c r="C95" s="123" t="s">
        <v>7788</v>
      </c>
      <c r="E95" s="123" t="s">
        <v>7806</v>
      </c>
    </row>
    <row r="96" spans="1:5">
      <c r="A96" s="132" t="s">
        <v>255</v>
      </c>
      <c r="B96" s="123" t="s">
        <v>7942</v>
      </c>
      <c r="C96" s="123" t="s">
        <v>7789</v>
      </c>
      <c r="E96" s="123" t="s">
        <v>7942</v>
      </c>
    </row>
    <row r="97" spans="1:5">
      <c r="A97" s="132" t="s">
        <v>255</v>
      </c>
      <c r="B97" s="123" t="s">
        <v>7943</v>
      </c>
      <c r="C97" s="123" t="s">
        <v>7875</v>
      </c>
      <c r="E97" s="123" t="s">
        <v>7943</v>
      </c>
    </row>
    <row r="98" spans="1:5">
      <c r="A98" s="132" t="s">
        <v>255</v>
      </c>
      <c r="B98" s="123" t="s">
        <v>7826</v>
      </c>
      <c r="C98" s="123" t="s">
        <v>7852</v>
      </c>
      <c r="E98" s="123" t="s">
        <v>7826</v>
      </c>
    </row>
    <row r="99" spans="1:5">
      <c r="A99" s="132" t="s">
        <v>255</v>
      </c>
      <c r="B99" s="123" t="s">
        <v>7944</v>
      </c>
      <c r="C99" s="123" t="s">
        <v>7876</v>
      </c>
      <c r="E99" s="123" t="s">
        <v>7944</v>
      </c>
    </row>
    <row r="100" spans="1:5">
      <c r="A100" s="132" t="s">
        <v>255</v>
      </c>
      <c r="B100" s="123" t="s">
        <v>7945</v>
      </c>
      <c r="C100" s="123" t="s">
        <v>7790</v>
      </c>
      <c r="E100" s="123" t="s">
        <v>7945</v>
      </c>
    </row>
    <row r="101" spans="1:5">
      <c r="A101" s="132" t="s">
        <v>255</v>
      </c>
      <c r="B101" s="123" t="s">
        <v>7836</v>
      </c>
      <c r="C101" s="123" t="s">
        <v>7791</v>
      </c>
      <c r="E101" s="123" t="s">
        <v>7836</v>
      </c>
    </row>
    <row r="102" spans="1:5">
      <c r="A102" s="132" t="s">
        <v>255</v>
      </c>
      <c r="B102" s="123" t="s">
        <v>7946</v>
      </c>
      <c r="C102" s="123" t="s">
        <v>7792</v>
      </c>
      <c r="E102" s="123" t="s">
        <v>7946</v>
      </c>
    </row>
    <row r="103" spans="1:5">
      <c r="A103" s="132" t="s">
        <v>255</v>
      </c>
      <c r="B103" s="123" t="s">
        <v>7947</v>
      </c>
      <c r="C103" s="123" t="s">
        <v>7793</v>
      </c>
      <c r="E103" s="123" t="s">
        <v>7947</v>
      </c>
    </row>
    <row r="104" spans="1:5">
      <c r="A104" s="132" t="s">
        <v>255</v>
      </c>
      <c r="B104" s="123" t="s">
        <v>7824</v>
      </c>
      <c r="C104" s="123" t="s">
        <v>7794</v>
      </c>
      <c r="E104" s="123" t="s">
        <v>7824</v>
      </c>
    </row>
    <row r="105" spans="1:5">
      <c r="A105" s="132" t="s">
        <v>255</v>
      </c>
      <c r="B105" s="123" t="s">
        <v>7948</v>
      </c>
      <c r="C105" s="123" t="s">
        <v>7877</v>
      </c>
      <c r="E105" s="123" t="s">
        <v>7948</v>
      </c>
    </row>
    <row r="106" spans="1:5">
      <c r="A106" s="132" t="s">
        <v>255</v>
      </c>
      <c r="B106" s="123" t="s">
        <v>7949</v>
      </c>
      <c r="C106" s="123" t="s">
        <v>7878</v>
      </c>
      <c r="E106" s="123" t="s">
        <v>7949</v>
      </c>
    </row>
    <row r="107" spans="1:5">
      <c r="A107" s="132" t="s">
        <v>255</v>
      </c>
      <c r="B107" s="123" t="s">
        <v>7809</v>
      </c>
      <c r="C107" s="123" t="s">
        <v>7795</v>
      </c>
      <c r="E107" s="123" t="s">
        <v>7809</v>
      </c>
    </row>
    <row r="108" spans="1:5">
      <c r="A108" s="132" t="s">
        <v>255</v>
      </c>
      <c r="B108" s="123" t="s">
        <v>7950</v>
      </c>
      <c r="C108" s="123" t="s">
        <v>7796</v>
      </c>
      <c r="E108" s="123" t="s">
        <v>7950</v>
      </c>
    </row>
    <row r="109" spans="1:5">
      <c r="A109" s="132" t="s">
        <v>255</v>
      </c>
      <c r="B109" s="123" t="s">
        <v>7951</v>
      </c>
      <c r="C109" s="123" t="s">
        <v>7797</v>
      </c>
      <c r="E109" s="123" t="s">
        <v>7951</v>
      </c>
    </row>
    <row r="110" spans="1:5">
      <c r="A110" s="132" t="s">
        <v>255</v>
      </c>
      <c r="B110" s="123" t="s">
        <v>7839</v>
      </c>
      <c r="C110" s="123" t="s">
        <v>7853</v>
      </c>
      <c r="E110" s="123" t="s">
        <v>7839</v>
      </c>
    </row>
    <row r="111" spans="1:5">
      <c r="A111" s="132" t="s">
        <v>255</v>
      </c>
      <c r="B111" s="123" t="s">
        <v>7952</v>
      </c>
      <c r="C111" s="123" t="s">
        <v>7879</v>
      </c>
      <c r="E111" s="123" t="s">
        <v>7952</v>
      </c>
    </row>
    <row r="112" spans="1:5">
      <c r="A112" s="132" t="s">
        <v>255</v>
      </c>
      <c r="B112" s="123" t="s">
        <v>7953</v>
      </c>
      <c r="C112" s="123" t="s">
        <v>7798</v>
      </c>
      <c r="E112" s="123" t="s">
        <v>7953</v>
      </c>
    </row>
    <row r="113" spans="1:5">
      <c r="A113" s="132" t="s">
        <v>255</v>
      </c>
      <c r="B113" s="123" t="s">
        <v>7831</v>
      </c>
      <c r="C113" s="123" t="s">
        <v>7854</v>
      </c>
      <c r="E113" s="123" t="s">
        <v>7831</v>
      </c>
    </row>
    <row r="114" spans="1:5">
      <c r="A114" s="132" t="s">
        <v>255</v>
      </c>
      <c r="B114" s="123" t="s">
        <v>7954</v>
      </c>
      <c r="C114" s="123" t="s">
        <v>7799</v>
      </c>
      <c r="E114" s="123" t="s">
        <v>7954</v>
      </c>
    </row>
    <row r="115" spans="1:5">
      <c r="A115" s="132" t="s">
        <v>255</v>
      </c>
      <c r="B115" s="123" t="s">
        <v>7955</v>
      </c>
      <c r="C115" s="123" t="s">
        <v>7800</v>
      </c>
      <c r="E115" s="123" t="s">
        <v>7955</v>
      </c>
    </row>
    <row r="116" spans="1:5">
      <c r="A116" s="132" t="s">
        <v>255</v>
      </c>
      <c r="B116" s="123" t="s">
        <v>7828</v>
      </c>
      <c r="C116" s="123" t="s">
        <v>7855</v>
      </c>
      <c r="E116" s="123" t="s">
        <v>7828</v>
      </c>
    </row>
    <row r="117" spans="1:5">
      <c r="A117" s="132" t="s">
        <v>255</v>
      </c>
      <c r="B117" s="123" t="s">
        <v>7812</v>
      </c>
      <c r="C117" s="123" t="s">
        <v>7440</v>
      </c>
      <c r="E117" s="123" t="s">
        <v>7812</v>
      </c>
    </row>
    <row r="118" spans="1:5">
      <c r="A118" s="132" t="s">
        <v>255</v>
      </c>
      <c r="B118" s="123" t="s">
        <v>7804</v>
      </c>
      <c r="C118" s="123" t="s">
        <v>7439</v>
      </c>
      <c r="E118" s="123" t="s">
        <v>7804</v>
      </c>
    </row>
  </sheetData>
  <sheetProtection selectLockedCells="1" selectUnlockedCells="1"/>
  <sortState ref="B3:B42">
    <sortCondition ref="B42"/>
  </sortState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118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 enableFormatConditionsCalculation="0">
    <tabColor indexed="9"/>
  </sheetPr>
  <dimension ref="A1:J6"/>
  <sheetViews>
    <sheetView zoomScale="89" zoomScaleNormal="89" workbookViewId="0">
      <selection activeCell="F14" sqref="F14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5"/>
      <c r="H1" s="195"/>
      <c r="I1" s="182"/>
      <c r="J1" s="195"/>
    </row>
    <row r="2" spans="1:10">
      <c r="A2" s="125" t="s">
        <v>256</v>
      </c>
      <c r="B2" s="125" t="s">
        <v>257</v>
      </c>
      <c r="C2" s="125" t="s">
        <v>258</v>
      </c>
      <c r="D2" s="112" t="s">
        <v>7962</v>
      </c>
      <c r="J2" s="196"/>
    </row>
    <row r="3" spans="1:10">
      <c r="A3" s="123" t="s">
        <v>256</v>
      </c>
      <c r="B3" s="123" t="s">
        <v>259</v>
      </c>
      <c r="C3" s="123" t="s">
        <v>260</v>
      </c>
      <c r="D3" s="112" t="s">
        <v>7963</v>
      </c>
      <c r="J3" s="196"/>
    </row>
    <row r="4" spans="1:10">
      <c r="J4" s="196"/>
    </row>
    <row r="5" spans="1:10">
      <c r="G5" s="140"/>
      <c r="H5" s="140"/>
      <c r="J5" s="196"/>
    </row>
    <row r="6" spans="1:10">
      <c r="G6" s="195"/>
      <c r="H6" s="195"/>
      <c r="I6" s="182"/>
      <c r="J6" s="19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261</v>
      </c>
      <c r="B2" s="112" t="s">
        <v>261</v>
      </c>
    </row>
    <row r="3" spans="1:4">
      <c r="A3" s="134" t="s">
        <v>262</v>
      </c>
      <c r="B3" s="135" t="s">
        <v>263</v>
      </c>
      <c r="D3" s="112" t="s">
        <v>261</v>
      </c>
    </row>
    <row r="4" spans="1:4">
      <c r="A4" s="123" t="s">
        <v>7670</v>
      </c>
      <c r="B4" s="112" t="s">
        <v>7671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 enableFormatConditionsCalculation="0">
    <tabColor indexed="9"/>
  </sheetPr>
  <dimension ref="A1:CM1025"/>
  <sheetViews>
    <sheetView zoomScale="95" zoomScaleNormal="9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V14" sqref="V14"/>
    </sheetView>
  </sheetViews>
  <sheetFormatPr baseColWidth="10" defaultColWidth="11.28515625" defaultRowHeight="12.75"/>
  <cols>
    <col min="1" max="1" width="12.140625" style="154" bestFit="1" customWidth="1"/>
    <col min="2" max="2" width="8.140625" bestFit="1" customWidth="1"/>
    <col min="3" max="3" width="5.28515625" bestFit="1" customWidth="1"/>
    <col min="4" max="4" width="9" bestFit="1" customWidth="1"/>
    <col min="5" max="5" width="7.140625" style="113" bestFit="1" customWidth="1"/>
    <col min="6" max="6" width="7" style="113" bestFit="1" customWidth="1"/>
    <col min="7" max="7" width="5.42578125" style="113" bestFit="1" customWidth="1"/>
    <col min="8" max="8" width="5.2851562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9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11.140625" style="153" bestFit="1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11" style="153" bestFit="1" customWidth="1"/>
    <col min="29" max="29" width="10" style="136" bestFit="1" customWidth="1"/>
    <col min="30" max="30" width="10.5703125" style="136" bestFit="1" customWidth="1"/>
    <col min="31" max="31" width="15.140625" style="215" bestFit="1" customWidth="1"/>
    <col min="32" max="32" width="14.42578125" style="220" bestFit="1" customWidth="1"/>
    <col min="33" max="33" width="16.7109375" style="218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9.85546875" style="153" bestFit="1" customWidth="1"/>
    <col min="73" max="74" width="10.28515625" style="136" bestFit="1" customWidth="1"/>
    <col min="75" max="75" width="14.42578125" style="136" bestFit="1" customWidth="1"/>
    <col min="76" max="76" width="9.7109375" style="136" bestFit="1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6.5703125" style="136" bestFit="1" customWidth="1"/>
    <col min="89" max="89" width="9.710937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1" s="139" customFormat="1" ht="13.5" thickBot="1">
      <c r="A1" s="155" t="s">
        <v>150</v>
      </c>
      <c r="B1" s="115" t="s">
        <v>171</v>
      </c>
      <c r="C1" s="115" t="s">
        <v>187</v>
      </c>
      <c r="D1" s="115" t="s">
        <v>264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7601</v>
      </c>
      <c r="J1" s="138" t="s">
        <v>7602</v>
      </c>
      <c r="K1" s="138" t="s">
        <v>7603</v>
      </c>
      <c r="L1" s="138" t="s">
        <v>7604</v>
      </c>
      <c r="M1" s="138" t="s">
        <v>7605</v>
      </c>
      <c r="N1" s="138" t="s">
        <v>7606</v>
      </c>
      <c r="O1" s="138" t="s">
        <v>7607</v>
      </c>
      <c r="P1" s="138" t="s">
        <v>7608</v>
      </c>
      <c r="Q1" s="138" t="s">
        <v>7609</v>
      </c>
      <c r="R1" s="138" t="s">
        <v>7610</v>
      </c>
      <c r="S1" s="138" t="s">
        <v>274</v>
      </c>
      <c r="T1" s="138" t="s">
        <v>275</v>
      </c>
      <c r="U1" s="138" t="s">
        <v>7611</v>
      </c>
      <c r="V1" s="138" t="s">
        <v>7612</v>
      </c>
      <c r="W1" s="138" t="s">
        <v>7613</v>
      </c>
      <c r="X1" s="138" t="s">
        <v>7614</v>
      </c>
      <c r="Y1" s="138" t="s">
        <v>272</v>
      </c>
      <c r="Z1" s="138" t="s">
        <v>273</v>
      </c>
      <c r="AA1" s="138" t="s">
        <v>268</v>
      </c>
      <c r="AB1" s="138" t="s">
        <v>269</v>
      </c>
      <c r="AC1" s="138" t="s">
        <v>265</v>
      </c>
      <c r="AD1" s="138" t="s">
        <v>7615</v>
      </c>
      <c r="AE1" s="216" t="s">
        <v>7616</v>
      </c>
      <c r="AF1" s="221" t="s">
        <v>7617</v>
      </c>
      <c r="AG1" s="236" t="s">
        <v>266</v>
      </c>
      <c r="AH1" s="138" t="s">
        <v>267</v>
      </c>
      <c r="AI1" s="138" t="s">
        <v>7618</v>
      </c>
      <c r="AJ1" s="138" t="s">
        <v>7619</v>
      </c>
      <c r="AK1" s="138" t="s">
        <v>7621</v>
      </c>
      <c r="AL1" s="138" t="s">
        <v>7620</v>
      </c>
      <c r="AM1" s="138" t="s">
        <v>7622</v>
      </c>
      <c r="AN1" s="219" t="s">
        <v>7623</v>
      </c>
      <c r="AO1" s="138" t="s">
        <v>7624</v>
      </c>
      <c r="AP1" s="138" t="s">
        <v>7625</v>
      </c>
      <c r="AQ1" s="138" t="s">
        <v>7626</v>
      </c>
      <c r="AR1" s="138" t="s">
        <v>7627</v>
      </c>
      <c r="AS1" s="138" t="s">
        <v>7628</v>
      </c>
      <c r="AT1" s="138" t="s">
        <v>7629</v>
      </c>
      <c r="AU1" s="138" t="s">
        <v>7630</v>
      </c>
      <c r="AV1" s="138" t="s">
        <v>7631</v>
      </c>
      <c r="AW1" s="138" t="s">
        <v>7632</v>
      </c>
      <c r="AX1" s="138" t="s">
        <v>7633</v>
      </c>
      <c r="AY1" s="138" t="s">
        <v>7634</v>
      </c>
      <c r="AZ1" s="138" t="s">
        <v>7635</v>
      </c>
      <c r="BA1" s="138" t="s">
        <v>7637</v>
      </c>
      <c r="BB1" s="138" t="s">
        <v>7636</v>
      </c>
      <c r="BC1" s="138" t="s">
        <v>7638</v>
      </c>
      <c r="BD1" s="138" t="s">
        <v>7639</v>
      </c>
      <c r="BE1" s="138" t="s">
        <v>7640</v>
      </c>
      <c r="BF1" s="138" t="s">
        <v>7641</v>
      </c>
      <c r="BG1" s="138" t="s">
        <v>7642</v>
      </c>
      <c r="BH1" s="138" t="s">
        <v>7643</v>
      </c>
      <c r="BI1" s="138" t="s">
        <v>7644</v>
      </c>
      <c r="BJ1" s="138" t="s">
        <v>7645</v>
      </c>
      <c r="BK1" s="138" t="s">
        <v>7646</v>
      </c>
      <c r="BL1" s="138" t="s">
        <v>7647</v>
      </c>
      <c r="BM1" s="138" t="s">
        <v>7648</v>
      </c>
      <c r="BN1" s="138" t="s">
        <v>7649</v>
      </c>
      <c r="BO1" s="138" t="s">
        <v>7650</v>
      </c>
      <c r="BP1" s="138" t="s">
        <v>7651</v>
      </c>
      <c r="BQ1" s="138" t="s">
        <v>7652</v>
      </c>
      <c r="BR1" s="138" t="s">
        <v>7653</v>
      </c>
      <c r="BS1" s="138" t="s">
        <v>270</v>
      </c>
      <c r="BT1" s="138" t="s">
        <v>271</v>
      </c>
      <c r="BU1" s="138" t="s">
        <v>7654</v>
      </c>
      <c r="BV1" s="138" t="s">
        <v>7655</v>
      </c>
      <c r="BW1" s="138" t="s">
        <v>7656</v>
      </c>
      <c r="BX1" s="138" t="s">
        <v>7657</v>
      </c>
      <c r="BY1" s="138" t="s">
        <v>7658</v>
      </c>
      <c r="BZ1" s="138" t="s">
        <v>7659</v>
      </c>
      <c r="CA1" s="138" t="s">
        <v>7660</v>
      </c>
      <c r="CB1" s="138" t="s">
        <v>7661</v>
      </c>
      <c r="CC1" s="138" t="s">
        <v>7662</v>
      </c>
      <c r="CD1" s="138" t="s">
        <v>7663</v>
      </c>
      <c r="CE1" s="138" t="s">
        <v>7664</v>
      </c>
      <c r="CF1" s="138" t="s">
        <v>7665</v>
      </c>
      <c r="CG1" s="138" t="s">
        <v>7666</v>
      </c>
      <c r="CH1" s="138" t="s">
        <v>7667</v>
      </c>
      <c r="CI1" s="138" t="s">
        <v>7584</v>
      </c>
      <c r="CJ1" s="138" t="s">
        <v>7443</v>
      </c>
      <c r="CK1" s="138" t="s">
        <v>7591</v>
      </c>
      <c r="CL1" s="138" t="s">
        <v>7668</v>
      </c>
      <c r="CM1" s="138" t="s">
        <v>7669</v>
      </c>
    </row>
    <row r="2" spans="1:91">
      <c r="A2" s="123" t="s">
        <v>7723</v>
      </c>
      <c r="B2" s="224" t="s">
        <v>257</v>
      </c>
      <c r="C2" s="224" t="s">
        <v>405</v>
      </c>
      <c r="D2" s="224"/>
      <c r="E2" s="222">
        <v>3</v>
      </c>
      <c r="F2" s="225">
        <v>4</v>
      </c>
      <c r="G2" s="223"/>
      <c r="I2" s="253">
        <v>33</v>
      </c>
      <c r="S2" s="218">
        <v>1131.3371529999999</v>
      </c>
      <c r="T2" s="180"/>
      <c r="Y2" s="218">
        <v>423.7410491</v>
      </c>
      <c r="Z2" s="180"/>
      <c r="AA2" s="218">
        <v>44414.055249999998</v>
      </c>
      <c r="AB2" s="180"/>
      <c r="AC2" s="252">
        <v>22.76858464</v>
      </c>
      <c r="AD2" s="180"/>
      <c r="AG2" s="218">
        <v>5.1264367819999999</v>
      </c>
      <c r="AH2" s="180"/>
      <c r="AM2" s="252">
        <v>89</v>
      </c>
      <c r="BS2" s="218">
        <v>49.688514699999999</v>
      </c>
      <c r="BT2" s="180"/>
      <c r="BU2" s="218">
        <v>18.610776900000001</v>
      </c>
      <c r="BV2" s="180"/>
    </row>
    <row r="3" spans="1:91">
      <c r="A3" s="123" t="s">
        <v>7723</v>
      </c>
      <c r="B3" s="224" t="s">
        <v>257</v>
      </c>
      <c r="C3" s="224" t="s">
        <v>7987</v>
      </c>
      <c r="D3" s="224"/>
      <c r="E3" s="222">
        <v>5</v>
      </c>
      <c r="F3" s="225">
        <v>36</v>
      </c>
      <c r="G3" s="223"/>
      <c r="I3" s="253">
        <v>41</v>
      </c>
      <c r="S3" s="218">
        <v>1269.2944279999999</v>
      </c>
      <c r="T3" s="180"/>
      <c r="Y3" s="218">
        <v>504.27705040000001</v>
      </c>
      <c r="Z3" s="180"/>
      <c r="AA3" s="218">
        <v>49283.135459999998</v>
      </c>
      <c r="AB3" s="180"/>
      <c r="AC3" s="252">
        <v>26.147915009999998</v>
      </c>
      <c r="AD3" s="180"/>
      <c r="AG3" s="218">
        <v>5.3056516719999998</v>
      </c>
      <c r="AH3" s="180"/>
      <c r="AM3" s="252">
        <v>92</v>
      </c>
      <c r="BS3" s="218">
        <v>48.542854300000002</v>
      </c>
      <c r="BT3" s="180"/>
      <c r="BU3" s="218">
        <v>19.285554900000001</v>
      </c>
      <c r="BV3" s="180"/>
    </row>
    <row r="4" spans="1:91">
      <c r="A4" s="123" t="s">
        <v>7723</v>
      </c>
      <c r="B4" s="224" t="s">
        <v>257</v>
      </c>
      <c r="C4" s="224" t="s">
        <v>7988</v>
      </c>
      <c r="D4" s="224"/>
      <c r="E4" s="222">
        <v>10</v>
      </c>
      <c r="F4" s="225">
        <v>13</v>
      </c>
      <c r="G4" s="223"/>
      <c r="I4" s="253">
        <v>37</v>
      </c>
      <c r="S4" s="218">
        <v>841.71842890000005</v>
      </c>
      <c r="T4" s="180"/>
      <c r="Y4" s="218">
        <v>334.65420419999998</v>
      </c>
      <c r="Z4" s="180"/>
      <c r="AA4" s="218">
        <v>30403.434420000001</v>
      </c>
      <c r="AB4" s="180"/>
      <c r="AC4" s="252">
        <v>17.139190970000001</v>
      </c>
      <c r="AD4" s="180"/>
      <c r="AG4" s="218">
        <v>5.6372549019999996</v>
      </c>
      <c r="AH4" s="180"/>
      <c r="AM4" s="252">
        <v>92</v>
      </c>
      <c r="BS4" s="218">
        <v>49.805309299999998</v>
      </c>
      <c r="BT4" s="180"/>
      <c r="BU4" s="218">
        <v>19.525670999999999</v>
      </c>
      <c r="BV4" s="180"/>
    </row>
    <row r="5" spans="1:91">
      <c r="A5" s="123" t="s">
        <v>7723</v>
      </c>
      <c r="B5" s="224" t="s">
        <v>257</v>
      </c>
      <c r="C5" s="224" t="s">
        <v>7989</v>
      </c>
      <c r="D5" s="224"/>
      <c r="E5" s="222">
        <v>16</v>
      </c>
      <c r="F5" s="225">
        <v>33</v>
      </c>
      <c r="G5" s="223"/>
      <c r="I5" s="253">
        <v>38</v>
      </c>
      <c r="S5" s="218">
        <v>1398.449732</v>
      </c>
      <c r="T5" s="180"/>
      <c r="Y5" s="218">
        <v>538.87603679999995</v>
      </c>
      <c r="Z5" s="180"/>
      <c r="AA5" s="218">
        <v>53968.232739999999</v>
      </c>
      <c r="AB5" s="180"/>
      <c r="AC5" s="252">
        <v>28.42367763</v>
      </c>
      <c r="AD5" s="180"/>
      <c r="AG5" s="218">
        <v>5.2667423380000002</v>
      </c>
      <c r="AH5" s="180"/>
      <c r="AM5" s="252">
        <v>92</v>
      </c>
      <c r="BS5" s="218">
        <v>49.200168599999998</v>
      </c>
      <c r="BT5" s="180"/>
      <c r="BU5" s="218">
        <v>18.9587021</v>
      </c>
      <c r="BV5" s="180"/>
    </row>
    <row r="6" spans="1:91">
      <c r="A6" s="123" t="s">
        <v>7723</v>
      </c>
      <c r="B6" s="224" t="s">
        <v>259</v>
      </c>
      <c r="C6" s="224" t="s">
        <v>405</v>
      </c>
      <c r="D6" s="224"/>
      <c r="E6" s="223">
        <v>4</v>
      </c>
      <c r="F6" s="225">
        <v>61</v>
      </c>
      <c r="G6" s="223"/>
      <c r="I6" s="253">
        <v>39</v>
      </c>
      <c r="S6" s="218">
        <v>1502.8615159999999</v>
      </c>
      <c r="T6" s="180"/>
      <c r="Y6" s="218">
        <v>680.4518448</v>
      </c>
      <c r="Z6" s="180"/>
      <c r="AA6" s="218">
        <v>58817.413520000002</v>
      </c>
      <c r="AB6" s="180"/>
      <c r="AC6" s="252">
        <v>31.817032220000002</v>
      </c>
      <c r="AD6" s="180"/>
      <c r="AG6" s="218">
        <v>5.4094579009999997</v>
      </c>
      <c r="AH6" s="180"/>
      <c r="AM6" s="252">
        <v>94</v>
      </c>
      <c r="BS6" s="218">
        <v>47.234497099999999</v>
      </c>
      <c r="BT6" s="180"/>
      <c r="BU6" s="218">
        <v>21.386402100000002</v>
      </c>
      <c r="BV6" s="180"/>
    </row>
    <row r="7" spans="1:91">
      <c r="A7" s="123" t="s">
        <v>7723</v>
      </c>
      <c r="B7" s="224" t="s">
        <v>259</v>
      </c>
      <c r="C7" s="224" t="s">
        <v>7987</v>
      </c>
      <c r="D7" s="224"/>
      <c r="E7" s="223">
        <v>5</v>
      </c>
      <c r="F7" s="225">
        <v>17</v>
      </c>
      <c r="G7" s="223"/>
      <c r="I7" s="253">
        <v>39</v>
      </c>
      <c r="S7" s="218">
        <v>1505.4609129999999</v>
      </c>
      <c r="T7" s="180"/>
      <c r="Y7" s="218">
        <v>630.82658990000004</v>
      </c>
      <c r="Z7" s="180"/>
      <c r="AA7" s="218">
        <v>57848.462290000003</v>
      </c>
      <c r="AB7" s="180"/>
      <c r="AC7" s="252">
        <v>31.32347613</v>
      </c>
      <c r="AD7" s="180"/>
      <c r="AG7" s="218">
        <v>5.4147465439999998</v>
      </c>
      <c r="AH7" s="180"/>
      <c r="AM7" s="252">
        <v>92</v>
      </c>
      <c r="BS7" s="218">
        <v>48.061744699999998</v>
      </c>
      <c r="BT7" s="180"/>
      <c r="BU7" s="218">
        <v>20.139099099999999</v>
      </c>
      <c r="BV7" s="180"/>
    </row>
    <row r="8" spans="1:91">
      <c r="A8" s="123" t="s">
        <v>7723</v>
      </c>
      <c r="B8" s="224" t="s">
        <v>259</v>
      </c>
      <c r="C8" s="224" t="s">
        <v>7988</v>
      </c>
      <c r="D8" s="224"/>
      <c r="E8" s="222">
        <v>11</v>
      </c>
      <c r="F8" s="225">
        <v>53</v>
      </c>
      <c r="G8" s="223"/>
      <c r="I8" s="253">
        <v>42</v>
      </c>
      <c r="S8" s="218">
        <v>1461.4052830000001</v>
      </c>
      <c r="T8" s="180"/>
      <c r="Y8" s="218">
        <v>609.7432867</v>
      </c>
      <c r="Z8" s="180"/>
      <c r="AA8" s="218">
        <v>56635.178290000003</v>
      </c>
      <c r="AB8" s="180"/>
      <c r="AC8" s="252">
        <v>29.941304120000002</v>
      </c>
      <c r="AD8" s="180"/>
      <c r="AG8" s="218">
        <v>5.2866972480000003</v>
      </c>
      <c r="AH8" s="180"/>
      <c r="AM8" s="252">
        <v>92</v>
      </c>
      <c r="BS8" s="218">
        <v>48.8090057</v>
      </c>
      <c r="BT8" s="180"/>
      <c r="BU8" s="218">
        <v>20.364620200000001</v>
      </c>
      <c r="BV8" s="180"/>
    </row>
    <row r="9" spans="1:91">
      <c r="A9" s="123" t="s">
        <v>7723</v>
      </c>
      <c r="B9" s="224" t="s">
        <v>259</v>
      </c>
      <c r="C9" s="224" t="s">
        <v>7989</v>
      </c>
      <c r="D9" s="224"/>
      <c r="E9" s="222">
        <v>13</v>
      </c>
      <c r="F9" s="225">
        <v>6</v>
      </c>
      <c r="G9" s="223"/>
      <c r="I9" s="253">
        <v>34</v>
      </c>
      <c r="S9" s="218">
        <v>1561.234318</v>
      </c>
      <c r="T9" s="180"/>
      <c r="Y9" s="218">
        <v>635.55697039999995</v>
      </c>
      <c r="Z9" s="180"/>
      <c r="AA9" s="218">
        <v>60593.841399999998</v>
      </c>
      <c r="AB9" s="180"/>
      <c r="AC9" s="252">
        <v>32.018336650000002</v>
      </c>
      <c r="AD9" s="180"/>
      <c r="AG9" s="218">
        <v>5.2840909089999997</v>
      </c>
      <c r="AH9" s="180"/>
      <c r="AM9" s="252">
        <v>92</v>
      </c>
      <c r="BS9" s="218">
        <v>48.760631600000004</v>
      </c>
      <c r="BT9" s="180"/>
      <c r="BU9" s="218">
        <v>19.849781</v>
      </c>
      <c r="BV9" s="180"/>
    </row>
    <row r="10" spans="1:91">
      <c r="A10" s="123" t="s">
        <v>7724</v>
      </c>
      <c r="B10" s="224" t="s">
        <v>257</v>
      </c>
      <c r="C10" s="224" t="s">
        <v>405</v>
      </c>
      <c r="D10" s="224"/>
      <c r="E10" s="222">
        <v>4</v>
      </c>
      <c r="F10" s="225">
        <v>10</v>
      </c>
      <c r="G10" s="223"/>
      <c r="I10" s="253">
        <v>41</v>
      </c>
      <c r="S10" s="218">
        <v>1742.9952949999999</v>
      </c>
      <c r="T10" s="180"/>
      <c r="Y10" s="218">
        <v>639.29296629999999</v>
      </c>
      <c r="Z10" s="180"/>
      <c r="AA10" s="218">
        <v>69652.971770000004</v>
      </c>
      <c r="AB10" s="180"/>
      <c r="AC10" s="252">
        <v>34.493395159999999</v>
      </c>
      <c r="AD10" s="180"/>
      <c r="AG10" s="218">
        <v>4.9521785329999997</v>
      </c>
      <c r="AH10" s="180"/>
      <c r="AM10" s="252">
        <v>92</v>
      </c>
      <c r="BS10" s="218">
        <v>50.531276699999999</v>
      </c>
      <c r="BT10" s="180"/>
      <c r="BU10" s="218">
        <v>18.5337791</v>
      </c>
      <c r="BV10" s="180"/>
    </row>
    <row r="11" spans="1:91">
      <c r="A11" s="123" t="s">
        <v>7724</v>
      </c>
      <c r="B11" s="224" t="s">
        <v>257</v>
      </c>
      <c r="C11" s="224" t="s">
        <v>7987</v>
      </c>
      <c r="D11" s="224"/>
      <c r="E11" s="222">
        <v>6</v>
      </c>
      <c r="F11" s="225">
        <v>37</v>
      </c>
      <c r="G11" s="223"/>
      <c r="I11" s="253">
        <v>37</v>
      </c>
      <c r="S11" s="218">
        <v>1778.3737920000001</v>
      </c>
      <c r="T11" s="180"/>
      <c r="Y11" s="218">
        <v>644.9047157</v>
      </c>
      <c r="Z11" s="180"/>
      <c r="AA11" s="218">
        <v>67934.097080000007</v>
      </c>
      <c r="AB11" s="180"/>
      <c r="AC11" s="252">
        <v>35.084385660000002</v>
      </c>
      <c r="AD11" s="180"/>
      <c r="AG11" s="218">
        <v>5.1644736839999998</v>
      </c>
      <c r="AH11" s="180"/>
      <c r="AM11" s="252">
        <v>89</v>
      </c>
      <c r="BS11" s="218">
        <v>50.688468899999997</v>
      </c>
      <c r="BT11" s="180"/>
      <c r="BU11" s="218">
        <v>18.3815308</v>
      </c>
      <c r="BV11" s="180"/>
    </row>
    <row r="12" spans="1:91">
      <c r="A12" s="123" t="s">
        <v>7724</v>
      </c>
      <c r="B12" s="224" t="s">
        <v>257</v>
      </c>
      <c r="C12" s="224" t="s">
        <v>7988</v>
      </c>
      <c r="D12" s="224"/>
      <c r="E12" s="223">
        <v>12</v>
      </c>
      <c r="F12" s="225">
        <v>15</v>
      </c>
      <c r="G12" s="223"/>
      <c r="I12" s="253">
        <v>34</v>
      </c>
      <c r="S12" s="218">
        <v>1485.5801730000001</v>
      </c>
      <c r="T12" s="180"/>
      <c r="Y12" s="218">
        <v>531.50569340000004</v>
      </c>
      <c r="Z12" s="180"/>
      <c r="AA12" s="218">
        <v>59041.494930000001</v>
      </c>
      <c r="AB12" s="180"/>
      <c r="AC12" s="252">
        <v>29.112047019999999</v>
      </c>
      <c r="AD12" s="180"/>
      <c r="AG12" s="218">
        <v>4.9307774230000003</v>
      </c>
      <c r="AH12" s="180"/>
      <c r="AM12" s="252">
        <v>89</v>
      </c>
      <c r="BS12" s="218">
        <v>51.029739399999997</v>
      </c>
      <c r="BT12" s="180"/>
      <c r="BU12" s="218">
        <v>18.2572422</v>
      </c>
      <c r="BV12" s="180"/>
    </row>
    <row r="13" spans="1:91">
      <c r="A13" s="123" t="s">
        <v>7724</v>
      </c>
      <c r="B13" s="224" t="s">
        <v>257</v>
      </c>
      <c r="C13" s="224" t="s">
        <v>7989</v>
      </c>
      <c r="D13" s="224"/>
      <c r="E13" s="223">
        <v>15</v>
      </c>
      <c r="F13" s="225">
        <v>58</v>
      </c>
      <c r="G13" s="223"/>
      <c r="I13" s="253">
        <v>41</v>
      </c>
      <c r="S13" s="218">
        <v>1732.0253829999999</v>
      </c>
      <c r="T13" s="180"/>
      <c r="Y13" s="218">
        <v>638.28135450000002</v>
      </c>
      <c r="Z13" s="180"/>
      <c r="AA13" s="218">
        <v>69816.342610000007</v>
      </c>
      <c r="AB13" s="180"/>
      <c r="AC13" s="252">
        <v>34.316507389999998</v>
      </c>
      <c r="AD13" s="180"/>
      <c r="AG13" s="218">
        <v>4.9152542370000001</v>
      </c>
      <c r="AH13" s="180"/>
      <c r="AM13" s="252">
        <v>92</v>
      </c>
      <c r="BS13" s="218">
        <v>50.472076399999999</v>
      </c>
      <c r="BT13" s="180"/>
      <c r="BU13" s="218">
        <v>18.599834399999999</v>
      </c>
      <c r="BV13" s="180"/>
    </row>
    <row r="14" spans="1:91">
      <c r="A14" s="123" t="s">
        <v>7724</v>
      </c>
      <c r="B14" s="224" t="s">
        <v>259</v>
      </c>
      <c r="C14" s="224" t="s">
        <v>405</v>
      </c>
      <c r="D14" s="224"/>
      <c r="E14" s="222">
        <v>4</v>
      </c>
      <c r="F14" s="225">
        <v>47</v>
      </c>
      <c r="G14" s="223"/>
      <c r="I14" s="253">
        <v>40</v>
      </c>
      <c r="S14" s="218">
        <v>1741.398005</v>
      </c>
      <c r="T14" s="180"/>
      <c r="Y14" s="218">
        <v>666.68010949999996</v>
      </c>
      <c r="Z14" s="180"/>
      <c r="AA14" s="218">
        <v>70304.70637</v>
      </c>
      <c r="AB14" s="180"/>
      <c r="AC14" s="252">
        <v>34.889742220000002</v>
      </c>
      <c r="AD14" s="180"/>
      <c r="AG14" s="218">
        <v>4.9626467449999998</v>
      </c>
      <c r="AH14" s="180"/>
      <c r="AM14" s="252">
        <v>92</v>
      </c>
      <c r="BS14" s="218">
        <v>49.911460900000002</v>
      </c>
      <c r="BT14" s="180"/>
      <c r="BU14" s="218">
        <v>19.1081982</v>
      </c>
      <c r="BV14" s="180"/>
    </row>
    <row r="15" spans="1:91">
      <c r="A15" s="123" t="s">
        <v>7724</v>
      </c>
      <c r="B15" s="224" t="s">
        <v>259</v>
      </c>
      <c r="C15" s="224" t="s">
        <v>7987</v>
      </c>
      <c r="D15" s="224"/>
      <c r="E15" s="222">
        <v>5</v>
      </c>
      <c r="F15" s="225">
        <v>22</v>
      </c>
      <c r="G15" s="223"/>
      <c r="I15" s="253">
        <v>35</v>
      </c>
      <c r="S15" s="218">
        <v>1672.8439269999999</v>
      </c>
      <c r="T15" s="180"/>
      <c r="Y15" s="218">
        <v>654.54587330000004</v>
      </c>
      <c r="Z15" s="180"/>
      <c r="AA15" s="218">
        <v>67356.38</v>
      </c>
      <c r="AB15" s="180"/>
      <c r="AC15" s="252">
        <v>33.642093330000002</v>
      </c>
      <c r="AD15" s="180"/>
      <c r="AG15" s="218">
        <v>4.9946409430000003</v>
      </c>
      <c r="AH15" s="180"/>
      <c r="AM15" s="252">
        <v>92</v>
      </c>
      <c r="BS15" s="218">
        <v>49.724727600000001</v>
      </c>
      <c r="BT15" s="180"/>
      <c r="BU15" s="218">
        <v>19.456157699999999</v>
      </c>
      <c r="BV15" s="180"/>
    </row>
    <row r="16" spans="1:91">
      <c r="A16" s="123" t="s">
        <v>7724</v>
      </c>
      <c r="B16" s="224" t="s">
        <v>259</v>
      </c>
      <c r="C16" s="224" t="s">
        <v>7988</v>
      </c>
      <c r="D16" s="224"/>
      <c r="E16" s="222">
        <v>11</v>
      </c>
      <c r="F16" s="225">
        <v>49</v>
      </c>
      <c r="G16" s="223"/>
      <c r="I16" s="253">
        <v>42</v>
      </c>
      <c r="S16" s="218">
        <v>1964.291491</v>
      </c>
      <c r="T16" s="180"/>
      <c r="Y16" s="218">
        <v>810.94151790000001</v>
      </c>
      <c r="Z16" s="180"/>
      <c r="AA16" s="218">
        <v>82319.486009999993</v>
      </c>
      <c r="AB16" s="180"/>
      <c r="AC16" s="252">
        <v>39.90986599</v>
      </c>
      <c r="AD16" s="180"/>
      <c r="AG16" s="218">
        <v>4.8481675390000003</v>
      </c>
      <c r="AH16" s="180"/>
      <c r="AM16" s="252">
        <v>92</v>
      </c>
      <c r="BS16" s="218">
        <v>49.218193100000001</v>
      </c>
      <c r="BT16" s="180"/>
      <c r="BU16" s="218">
        <v>20.3193245</v>
      </c>
      <c r="BV16" s="180"/>
    </row>
    <row r="17" spans="1:74">
      <c r="A17" s="123" t="s">
        <v>7724</v>
      </c>
      <c r="B17" s="224" t="s">
        <v>259</v>
      </c>
      <c r="C17" s="224" t="s">
        <v>7989</v>
      </c>
      <c r="D17" s="224"/>
      <c r="E17" s="222">
        <v>16</v>
      </c>
      <c r="F17" s="225">
        <v>23</v>
      </c>
      <c r="G17" s="223"/>
      <c r="I17" s="253">
        <v>39</v>
      </c>
      <c r="S17" s="218">
        <v>1746.6422660000001</v>
      </c>
      <c r="T17" s="180"/>
      <c r="Y17" s="218">
        <v>729.11979719999999</v>
      </c>
      <c r="Z17" s="180"/>
      <c r="AA17" s="218">
        <v>72482.669330000004</v>
      </c>
      <c r="AB17" s="180"/>
      <c r="AC17" s="252">
        <v>35.967667630000001</v>
      </c>
      <c r="AD17" s="180"/>
      <c r="AG17" s="218">
        <v>4.9622437970000002</v>
      </c>
      <c r="AH17" s="180"/>
      <c r="AM17" s="252">
        <v>92</v>
      </c>
      <c r="BS17" s="218">
        <v>48.5614548</v>
      </c>
      <c r="BT17" s="180"/>
      <c r="BU17" s="218">
        <v>20.271533999999999</v>
      </c>
      <c r="BV17" s="180"/>
    </row>
    <row r="18" spans="1:74">
      <c r="A18" s="123" t="s">
        <v>7725</v>
      </c>
      <c r="B18" s="224" t="s">
        <v>257</v>
      </c>
      <c r="C18" s="224" t="s">
        <v>405</v>
      </c>
      <c r="D18" s="224"/>
      <c r="E18" s="223">
        <v>4</v>
      </c>
      <c r="F18" s="225">
        <v>25</v>
      </c>
      <c r="G18" s="223"/>
      <c r="I18" s="253">
        <v>41</v>
      </c>
      <c r="S18" s="218">
        <v>1792.5134330000001</v>
      </c>
      <c r="T18" s="180"/>
      <c r="Y18" s="218">
        <v>623.00810909999996</v>
      </c>
      <c r="Z18" s="180"/>
      <c r="AA18" s="218">
        <v>80368.368669999996</v>
      </c>
      <c r="AB18" s="180"/>
      <c r="AC18" s="252">
        <v>35.279965060000002</v>
      </c>
      <c r="AD18" s="180"/>
      <c r="AG18" s="218">
        <v>4.3897824029999999</v>
      </c>
      <c r="AH18" s="180"/>
      <c r="AM18" s="252">
        <v>79</v>
      </c>
      <c r="BS18" s="218">
        <v>50.8082542</v>
      </c>
      <c r="BT18" s="180"/>
      <c r="BU18" s="218">
        <v>17.658977499999999</v>
      </c>
      <c r="BV18" s="180"/>
    </row>
    <row r="19" spans="1:74">
      <c r="A19" s="123" t="s">
        <v>7725</v>
      </c>
      <c r="B19" s="224" t="s">
        <v>257</v>
      </c>
      <c r="C19" s="224" t="s">
        <v>7987</v>
      </c>
      <c r="D19" s="224"/>
      <c r="E19" s="223">
        <v>7</v>
      </c>
      <c r="F19" s="225">
        <v>38</v>
      </c>
      <c r="G19" s="223"/>
      <c r="I19" s="253">
        <v>33</v>
      </c>
      <c r="S19" s="218">
        <v>1383.102574</v>
      </c>
      <c r="T19" s="180"/>
      <c r="Y19" s="218">
        <v>511.13121810000001</v>
      </c>
      <c r="Z19" s="180"/>
      <c r="AA19" s="218">
        <v>62229.718699999998</v>
      </c>
      <c r="AB19" s="180"/>
      <c r="AC19" s="252">
        <v>27.492709690000002</v>
      </c>
      <c r="AD19" s="180"/>
      <c r="AG19" s="218">
        <v>4.4179389310000001</v>
      </c>
      <c r="AH19" s="180"/>
      <c r="AM19" s="252">
        <v>94</v>
      </c>
      <c r="BS19" s="218">
        <v>50.307975800000001</v>
      </c>
      <c r="BT19" s="180"/>
      <c r="BU19" s="218">
        <v>18.591518399999998</v>
      </c>
      <c r="BV19" s="180"/>
    </row>
    <row r="20" spans="1:74">
      <c r="A20" s="123" t="s">
        <v>7725</v>
      </c>
      <c r="B20" s="224" t="s">
        <v>257</v>
      </c>
      <c r="C20" s="224" t="s">
        <v>7988</v>
      </c>
      <c r="D20" s="224"/>
      <c r="E20" s="222">
        <v>12</v>
      </c>
      <c r="F20" s="225">
        <v>32</v>
      </c>
      <c r="G20" s="223"/>
      <c r="I20" s="253">
        <v>37</v>
      </c>
      <c r="S20" s="218">
        <v>1415.129801</v>
      </c>
      <c r="T20" s="180"/>
      <c r="Y20" s="218">
        <v>526.05884309999999</v>
      </c>
      <c r="Z20" s="180"/>
      <c r="AA20" s="218">
        <v>63772.581760000001</v>
      </c>
      <c r="AB20" s="180"/>
      <c r="AC20" s="252">
        <v>28.329743050000001</v>
      </c>
      <c r="AD20" s="180"/>
      <c r="AG20" s="218">
        <v>4.442307692</v>
      </c>
      <c r="AH20" s="180"/>
      <c r="AM20" s="252">
        <v>92</v>
      </c>
      <c r="BS20" s="218">
        <v>49.952087400000003</v>
      </c>
      <c r="BT20" s="180"/>
      <c r="BU20" s="218">
        <v>18.5691357</v>
      </c>
      <c r="BV20" s="180"/>
    </row>
    <row r="21" spans="1:74">
      <c r="A21" s="123" t="s">
        <v>7725</v>
      </c>
      <c r="B21" s="224" t="s">
        <v>257</v>
      </c>
      <c r="C21" s="224" t="s">
        <v>7989</v>
      </c>
      <c r="D21" s="224"/>
      <c r="E21" s="222">
        <v>14</v>
      </c>
      <c r="F21" s="225">
        <v>57</v>
      </c>
      <c r="G21" s="223"/>
      <c r="I21" s="253">
        <v>33</v>
      </c>
      <c r="S21" s="218">
        <v>1241.903507</v>
      </c>
      <c r="T21" s="180"/>
      <c r="Y21" s="218">
        <v>483.06726040000001</v>
      </c>
      <c r="Z21" s="180"/>
      <c r="AA21" s="218">
        <v>57804.992270000002</v>
      </c>
      <c r="AB21" s="180"/>
      <c r="AC21" s="252">
        <v>25.034504089999999</v>
      </c>
      <c r="AD21" s="180"/>
      <c r="AG21" s="218">
        <v>4.3308550190000004</v>
      </c>
      <c r="AH21" s="180"/>
      <c r="AM21" s="252">
        <v>92</v>
      </c>
      <c r="BS21" s="218">
        <v>49.607673599999998</v>
      </c>
      <c r="BT21" s="180"/>
      <c r="BU21" s="218">
        <v>19.2960587</v>
      </c>
      <c r="BV21" s="180"/>
    </row>
    <row r="22" spans="1:74">
      <c r="A22" s="123" t="s">
        <v>7725</v>
      </c>
      <c r="B22" s="224" t="s">
        <v>259</v>
      </c>
      <c r="C22" s="224" t="s">
        <v>405</v>
      </c>
      <c r="D22" s="224"/>
      <c r="E22" s="222">
        <v>4</v>
      </c>
      <c r="F22" s="225">
        <v>48</v>
      </c>
      <c r="G22" s="223"/>
      <c r="I22" s="253">
        <v>42</v>
      </c>
      <c r="S22" s="218">
        <v>1674.285985</v>
      </c>
      <c r="T22" s="180"/>
      <c r="Y22" s="218">
        <v>668.66887899999995</v>
      </c>
      <c r="Z22" s="180"/>
      <c r="AA22" s="218">
        <v>75904.991500000004</v>
      </c>
      <c r="AB22" s="180"/>
      <c r="AC22" s="252">
        <v>34.153557890000002</v>
      </c>
      <c r="AD22" s="180"/>
      <c r="AG22" s="218">
        <v>4.499514091</v>
      </c>
      <c r="AH22" s="180"/>
      <c r="AM22" s="252">
        <v>94</v>
      </c>
      <c r="BS22" s="218">
        <v>49.022300700000002</v>
      </c>
      <c r="BT22" s="180"/>
      <c r="BU22" s="218">
        <v>19.578308100000001</v>
      </c>
      <c r="BV22" s="180"/>
    </row>
    <row r="23" spans="1:74">
      <c r="A23" s="123" t="s">
        <v>7725</v>
      </c>
      <c r="B23" s="224" t="s">
        <v>259</v>
      </c>
      <c r="C23" s="224" t="s">
        <v>7987</v>
      </c>
      <c r="D23" s="224"/>
      <c r="E23" s="222">
        <v>7</v>
      </c>
      <c r="F23" s="225">
        <v>5</v>
      </c>
      <c r="G23" s="223"/>
      <c r="I23" s="253">
        <v>26</v>
      </c>
      <c r="S23" s="218">
        <v>1623.4157029999999</v>
      </c>
      <c r="T23" s="180"/>
      <c r="Y23" s="218">
        <v>639.81146950000004</v>
      </c>
      <c r="Z23" s="180"/>
      <c r="AA23" s="218">
        <v>68793.705919999993</v>
      </c>
      <c r="AB23" s="180"/>
      <c r="AC23" s="252">
        <v>33.032468399999999</v>
      </c>
      <c r="AD23" s="180"/>
      <c r="AG23" s="218">
        <v>4.8016701460000002</v>
      </c>
      <c r="AH23" s="180"/>
      <c r="AM23" s="252">
        <v>94</v>
      </c>
      <c r="BS23" s="218">
        <v>49.146060900000002</v>
      </c>
      <c r="BT23" s="180"/>
      <c r="BU23" s="218">
        <v>19.369169200000002</v>
      </c>
      <c r="BV23" s="180"/>
    </row>
    <row r="24" spans="1:74">
      <c r="A24" s="123" t="s">
        <v>7725</v>
      </c>
      <c r="B24" s="224" t="s">
        <v>259</v>
      </c>
      <c r="C24" s="224" t="s">
        <v>7988</v>
      </c>
      <c r="D24" s="224"/>
      <c r="E24" s="223">
        <v>11</v>
      </c>
      <c r="F24" s="225">
        <v>50</v>
      </c>
      <c r="G24" s="223"/>
      <c r="I24" s="253">
        <v>40</v>
      </c>
      <c r="S24" s="218">
        <v>1497.6907040000001</v>
      </c>
      <c r="T24" s="180"/>
      <c r="Y24" s="218">
        <v>657.60721909999995</v>
      </c>
      <c r="Z24" s="180"/>
      <c r="AA24" s="218">
        <v>70882.893660000002</v>
      </c>
      <c r="AB24" s="180"/>
      <c r="AC24" s="252">
        <v>31.443272140000001</v>
      </c>
      <c r="AD24" s="180"/>
      <c r="AG24" s="218">
        <v>4.4359464629999996</v>
      </c>
      <c r="AH24" s="180"/>
      <c r="AM24" s="252">
        <v>94</v>
      </c>
      <c r="BS24" s="218">
        <v>47.631515499999999</v>
      </c>
      <c r="BT24" s="180"/>
      <c r="BU24" s="218">
        <v>20.9140835</v>
      </c>
      <c r="BV24" s="180"/>
    </row>
    <row r="25" spans="1:74">
      <c r="A25" s="123" t="s">
        <v>7725</v>
      </c>
      <c r="B25" s="224" t="s">
        <v>259</v>
      </c>
      <c r="C25" s="224" t="s">
        <v>7989</v>
      </c>
      <c r="D25" s="224"/>
      <c r="E25" s="223">
        <v>14</v>
      </c>
      <c r="F25" s="225">
        <v>24</v>
      </c>
      <c r="G25" s="223"/>
      <c r="I25" s="253">
        <v>34</v>
      </c>
      <c r="S25" s="218">
        <v>1620.9326880000001</v>
      </c>
      <c r="T25" s="180"/>
      <c r="Y25" s="218">
        <v>657.1164235</v>
      </c>
      <c r="Z25" s="180"/>
      <c r="AA25" s="218">
        <v>75232.537630000006</v>
      </c>
      <c r="AB25" s="180"/>
      <c r="AC25" s="252">
        <v>33.525182800000003</v>
      </c>
      <c r="AD25" s="180"/>
      <c r="AG25" s="218">
        <v>4.4562078920000001</v>
      </c>
      <c r="AH25" s="180"/>
      <c r="AM25" s="252">
        <v>92</v>
      </c>
      <c r="BS25" s="218">
        <v>48.349704699999997</v>
      </c>
      <c r="BT25" s="180"/>
      <c r="BU25" s="218">
        <v>19.600681300000002</v>
      </c>
      <c r="BV25" s="180"/>
    </row>
    <row r="26" spans="1:74">
      <c r="A26" s="123" t="s">
        <v>7843</v>
      </c>
      <c r="B26" s="224" t="s">
        <v>257</v>
      </c>
      <c r="C26" s="224" t="s">
        <v>405</v>
      </c>
      <c r="D26" s="224"/>
      <c r="E26" s="222">
        <v>4</v>
      </c>
      <c r="F26" s="225">
        <v>27</v>
      </c>
      <c r="G26" s="223"/>
      <c r="I26" s="253">
        <v>38</v>
      </c>
      <c r="S26" s="218">
        <v>1802.8924999999999</v>
      </c>
      <c r="T26" s="180"/>
      <c r="Y26" s="218">
        <v>637.67653110000003</v>
      </c>
      <c r="Z26" s="180"/>
      <c r="AA26" s="218">
        <v>66764.875339999999</v>
      </c>
      <c r="AB26" s="180"/>
      <c r="AC26" s="252">
        <v>34.957788659999999</v>
      </c>
      <c r="AD26" s="180"/>
      <c r="AG26" s="218">
        <v>5.2359550559999999</v>
      </c>
      <c r="AH26" s="180"/>
      <c r="AM26" s="252">
        <v>81</v>
      </c>
      <c r="BS26" s="218">
        <v>51.573413799999997</v>
      </c>
      <c r="BT26" s="180"/>
      <c r="BU26" s="218">
        <v>18.241329199999999</v>
      </c>
      <c r="BV26" s="180"/>
    </row>
    <row r="27" spans="1:74">
      <c r="A27" s="123" t="s">
        <v>7843</v>
      </c>
      <c r="B27" s="224" t="s">
        <v>257</v>
      </c>
      <c r="C27" s="224" t="s">
        <v>7987</v>
      </c>
      <c r="D27" s="224"/>
      <c r="E27" s="222">
        <v>7</v>
      </c>
      <c r="F27" s="225">
        <v>34</v>
      </c>
      <c r="G27" s="223"/>
      <c r="I27" s="253">
        <v>28</v>
      </c>
      <c r="S27" s="218">
        <v>1586.678547</v>
      </c>
      <c r="T27" s="180"/>
      <c r="Y27" s="218">
        <v>544.8586391</v>
      </c>
      <c r="Z27" s="180"/>
      <c r="AA27" s="218">
        <v>61152.576950000002</v>
      </c>
      <c r="AB27" s="180"/>
      <c r="AC27" s="252">
        <v>30.877038850000002</v>
      </c>
      <c r="AD27" s="180"/>
      <c r="AG27" s="218">
        <v>5.0491803280000003</v>
      </c>
      <c r="AH27" s="180"/>
      <c r="AM27" s="252">
        <v>81</v>
      </c>
      <c r="BS27" s="218">
        <v>51.387004900000001</v>
      </c>
      <c r="BT27" s="180"/>
      <c r="BU27" s="218">
        <v>17.6460781</v>
      </c>
      <c r="BV27" s="180"/>
    </row>
    <row r="28" spans="1:74">
      <c r="A28" s="123" t="s">
        <v>7843</v>
      </c>
      <c r="B28" s="224" t="s">
        <v>257</v>
      </c>
      <c r="C28" s="224" t="s">
        <v>7988</v>
      </c>
      <c r="D28" s="224"/>
      <c r="E28" s="222">
        <v>10</v>
      </c>
      <c r="F28" s="225">
        <v>18</v>
      </c>
      <c r="G28" s="223"/>
      <c r="I28" s="253">
        <v>32</v>
      </c>
      <c r="S28" s="218">
        <v>1326.742845</v>
      </c>
      <c r="T28" s="180"/>
      <c r="Y28" s="218">
        <v>494.72392500000001</v>
      </c>
      <c r="Z28" s="180"/>
      <c r="AA28" s="218">
        <v>53034.656869999999</v>
      </c>
      <c r="AB28" s="180"/>
      <c r="AC28" s="252">
        <v>26.604080870000001</v>
      </c>
      <c r="AD28" s="180"/>
      <c r="AG28" s="218">
        <v>5.0163576880000003</v>
      </c>
      <c r="AH28" s="180"/>
      <c r="AM28" s="252">
        <v>81</v>
      </c>
      <c r="BS28" s="218">
        <v>49.869899699999998</v>
      </c>
      <c r="BT28" s="180"/>
      <c r="BU28" s="218">
        <v>18.595790900000001</v>
      </c>
      <c r="BV28" s="180"/>
    </row>
    <row r="29" spans="1:74">
      <c r="A29" s="123" t="s">
        <v>7843</v>
      </c>
      <c r="B29" s="224" t="s">
        <v>257</v>
      </c>
      <c r="C29" s="224" t="s">
        <v>7989</v>
      </c>
      <c r="D29" s="224"/>
      <c r="E29" s="222">
        <v>16</v>
      </c>
      <c r="F29" s="225">
        <v>39</v>
      </c>
      <c r="G29" s="223"/>
      <c r="I29" s="253">
        <v>36</v>
      </c>
      <c r="S29" s="218">
        <v>1641.6671349999999</v>
      </c>
      <c r="T29" s="180"/>
      <c r="Y29" s="218">
        <v>630.59233940000001</v>
      </c>
      <c r="Z29" s="180"/>
      <c r="AA29" s="218">
        <v>64877.200089999998</v>
      </c>
      <c r="AB29" s="180"/>
      <c r="AC29" s="252">
        <v>33.332718020000002</v>
      </c>
      <c r="AD29" s="180"/>
      <c r="AG29" s="218">
        <v>5.1378169790000001</v>
      </c>
      <c r="AH29" s="180"/>
      <c r="AM29" s="252">
        <v>81</v>
      </c>
      <c r="BS29" s="218">
        <v>49.250923200000003</v>
      </c>
      <c r="BT29" s="180"/>
      <c r="BU29" s="218">
        <v>18.918119399999998</v>
      </c>
      <c r="BV29" s="180"/>
    </row>
    <row r="30" spans="1:74">
      <c r="A30" s="123" t="s">
        <v>7843</v>
      </c>
      <c r="B30" s="224" t="s">
        <v>259</v>
      </c>
      <c r="C30" s="224" t="s">
        <v>405</v>
      </c>
      <c r="D30" s="224"/>
      <c r="E30" s="223">
        <v>4</v>
      </c>
      <c r="F30" s="225">
        <v>51</v>
      </c>
      <c r="G30" s="223"/>
      <c r="I30" s="253">
        <v>39</v>
      </c>
      <c r="S30" s="218">
        <v>1783.2992609999999</v>
      </c>
      <c r="T30" s="180"/>
      <c r="Y30" s="218">
        <v>670.43408699999998</v>
      </c>
      <c r="Z30" s="180"/>
      <c r="AA30" s="218">
        <v>68765.999939999994</v>
      </c>
      <c r="AB30" s="180"/>
      <c r="AC30" s="252">
        <v>35.721603969999997</v>
      </c>
      <c r="AD30" s="180"/>
      <c r="AG30" s="218">
        <v>5.1946607340000002</v>
      </c>
      <c r="AH30" s="180"/>
      <c r="AM30" s="252">
        <v>83</v>
      </c>
      <c r="BS30" s="218">
        <v>49.922149699999999</v>
      </c>
      <c r="BT30" s="180"/>
      <c r="BU30" s="218">
        <v>18.768308600000001</v>
      </c>
      <c r="BV30" s="180"/>
    </row>
    <row r="31" spans="1:74">
      <c r="A31" s="123" t="s">
        <v>7843</v>
      </c>
      <c r="B31" s="224" t="s">
        <v>259</v>
      </c>
      <c r="C31" s="224" t="s">
        <v>7987</v>
      </c>
      <c r="D31" s="224"/>
      <c r="E31" s="223">
        <v>6</v>
      </c>
      <c r="F31" s="225">
        <v>24</v>
      </c>
      <c r="G31" s="223"/>
      <c r="I31" s="253">
        <v>36</v>
      </c>
      <c r="S31" s="218">
        <v>1639.9976380000001</v>
      </c>
      <c r="T31" s="180"/>
      <c r="Y31" s="218">
        <v>638.23087940000005</v>
      </c>
      <c r="Z31" s="180"/>
      <c r="AA31" s="218">
        <v>64294.22739</v>
      </c>
      <c r="AB31" s="180"/>
      <c r="AC31" s="252">
        <v>33.110456720000002</v>
      </c>
      <c r="AD31" s="180"/>
      <c r="AG31" s="218">
        <v>5.1498335180000003</v>
      </c>
      <c r="AH31" s="180"/>
      <c r="AM31" s="252">
        <v>81</v>
      </c>
      <c r="BS31" s="218">
        <v>49.5311089</v>
      </c>
      <c r="BT31" s="180"/>
      <c r="BU31" s="218">
        <v>19.275810199999999</v>
      </c>
      <c r="BV31" s="180"/>
    </row>
    <row r="32" spans="1:74">
      <c r="A32" s="123" t="s">
        <v>7843</v>
      </c>
      <c r="B32" s="224" t="s">
        <v>259</v>
      </c>
      <c r="C32" s="224" t="s">
        <v>7988</v>
      </c>
      <c r="D32" s="224"/>
      <c r="E32" s="222">
        <v>9</v>
      </c>
      <c r="F32" s="225">
        <v>41</v>
      </c>
      <c r="G32" s="223"/>
      <c r="I32" s="253">
        <v>39</v>
      </c>
      <c r="S32" s="218">
        <v>1889.5731129999999</v>
      </c>
      <c r="T32" s="180"/>
      <c r="Y32" s="218">
        <v>762.19701110000005</v>
      </c>
      <c r="Z32" s="180"/>
      <c r="AA32" s="218">
        <v>74262.376080000002</v>
      </c>
      <c r="AB32" s="180"/>
      <c r="AC32" s="252">
        <v>38.134733660000002</v>
      </c>
      <c r="AD32" s="180"/>
      <c r="AG32" s="218">
        <v>5.1351351349999996</v>
      </c>
      <c r="AH32" s="180"/>
      <c r="AM32" s="252">
        <v>83</v>
      </c>
      <c r="BS32" s="218">
        <v>49.549922899999999</v>
      </c>
      <c r="BT32" s="180"/>
      <c r="BU32" s="218">
        <v>19.986949899999999</v>
      </c>
      <c r="BV32" s="180"/>
    </row>
    <row r="33" spans="1:74">
      <c r="A33" s="123" t="s">
        <v>7843</v>
      </c>
      <c r="B33" s="224" t="s">
        <v>259</v>
      </c>
      <c r="C33" s="224" t="s">
        <v>7989</v>
      </c>
      <c r="D33" s="224"/>
      <c r="E33" s="222">
        <v>16</v>
      </c>
      <c r="F33" s="225">
        <v>3</v>
      </c>
      <c r="G33" s="223"/>
      <c r="I33" s="253">
        <v>34</v>
      </c>
      <c r="S33" s="218">
        <v>1604.177267</v>
      </c>
      <c r="T33" s="180"/>
      <c r="Y33" s="218">
        <v>686.49334229999999</v>
      </c>
      <c r="Z33" s="180"/>
      <c r="AA33" s="218">
        <v>64635.23216</v>
      </c>
      <c r="AB33" s="180"/>
      <c r="AC33" s="252">
        <v>32.987228629999997</v>
      </c>
      <c r="AD33" s="180"/>
      <c r="AG33" s="218">
        <v>5.1035986910000002</v>
      </c>
      <c r="AH33" s="180"/>
      <c r="AM33" s="252">
        <v>83</v>
      </c>
      <c r="BS33" s="218">
        <v>48.630252800000001</v>
      </c>
      <c r="BT33" s="180"/>
      <c r="BU33" s="218">
        <v>20.810882599999999</v>
      </c>
      <c r="BV33" s="180"/>
    </row>
    <row r="34" spans="1:74">
      <c r="A34" s="123" t="s">
        <v>7726</v>
      </c>
      <c r="B34" s="224" t="s">
        <v>257</v>
      </c>
      <c r="C34" s="224" t="s">
        <v>405</v>
      </c>
      <c r="D34" s="224"/>
      <c r="E34" s="222">
        <v>3</v>
      </c>
      <c r="F34" s="225">
        <v>12</v>
      </c>
      <c r="G34" s="223"/>
      <c r="I34" s="253">
        <v>37</v>
      </c>
      <c r="S34" s="218">
        <v>1192.8071319999999</v>
      </c>
      <c r="T34" s="180"/>
      <c r="Y34" s="218">
        <v>466.45142920000001</v>
      </c>
      <c r="Z34" s="180"/>
      <c r="AA34" s="218">
        <v>50667.66661</v>
      </c>
      <c r="AB34" s="180"/>
      <c r="AC34" s="252">
        <v>24.381831219999999</v>
      </c>
      <c r="AD34" s="180"/>
      <c r="AG34" s="218">
        <v>4.8121085590000003</v>
      </c>
      <c r="AH34" s="180"/>
      <c r="AM34" s="252">
        <v>89</v>
      </c>
      <c r="BS34" s="218">
        <v>48.921966599999998</v>
      </c>
      <c r="BT34" s="180"/>
      <c r="BU34" s="218">
        <v>19.1311073</v>
      </c>
      <c r="BV34" s="180"/>
    </row>
    <row r="35" spans="1:74">
      <c r="A35" s="123" t="s">
        <v>7726</v>
      </c>
      <c r="B35" s="224" t="s">
        <v>257</v>
      </c>
      <c r="C35" s="224" t="s">
        <v>7987</v>
      </c>
      <c r="D35" s="224"/>
      <c r="E35" s="222">
        <v>7</v>
      </c>
      <c r="F35" s="225">
        <v>33</v>
      </c>
      <c r="G35" s="223"/>
      <c r="I35" s="253">
        <v>44</v>
      </c>
      <c r="S35" s="218">
        <v>1187.2435109999999</v>
      </c>
      <c r="T35" s="180"/>
      <c r="Y35" s="218">
        <v>439.91572910000002</v>
      </c>
      <c r="Z35" s="180"/>
      <c r="AA35" s="218">
        <v>49893.726849999999</v>
      </c>
      <c r="AB35" s="180"/>
      <c r="AC35" s="252">
        <v>23.48843141</v>
      </c>
      <c r="AD35" s="180"/>
      <c r="AG35" s="218">
        <v>4.7076923080000004</v>
      </c>
      <c r="AH35" s="180"/>
      <c r="AM35" s="252">
        <v>87</v>
      </c>
      <c r="BS35" s="218">
        <v>50.545883199999999</v>
      </c>
      <c r="BT35" s="180"/>
      <c r="BU35" s="218">
        <v>18.729038200000002</v>
      </c>
      <c r="BV35" s="180"/>
    </row>
    <row r="36" spans="1:74">
      <c r="A36" s="123" t="s">
        <v>7726</v>
      </c>
      <c r="B36" s="224" t="s">
        <v>257</v>
      </c>
      <c r="C36" s="224" t="s">
        <v>7988</v>
      </c>
      <c r="D36" s="224"/>
      <c r="E36" s="223">
        <v>12</v>
      </c>
      <c r="F36" s="225">
        <v>1</v>
      </c>
      <c r="G36" s="223"/>
      <c r="I36" s="253">
        <v>40</v>
      </c>
      <c r="S36" s="218">
        <v>1297.9492519999999</v>
      </c>
      <c r="T36" s="180"/>
      <c r="Y36" s="218">
        <v>532.56890390000001</v>
      </c>
      <c r="Z36" s="180"/>
      <c r="AA36" s="218">
        <v>56153.387820000004</v>
      </c>
      <c r="AB36" s="180"/>
      <c r="AC36" s="252">
        <v>26.38117196</v>
      </c>
      <c r="AD36" s="180"/>
      <c r="AG36" s="218">
        <v>4.6980552710000003</v>
      </c>
      <c r="AH36" s="180"/>
      <c r="AM36" s="252">
        <v>89</v>
      </c>
      <c r="BS36" s="218">
        <v>49.199832899999997</v>
      </c>
      <c r="BT36" s="180"/>
      <c r="BU36" s="218">
        <v>20.187461899999999</v>
      </c>
      <c r="BV36" s="180"/>
    </row>
    <row r="37" spans="1:74">
      <c r="A37" s="123" t="s">
        <v>7726</v>
      </c>
      <c r="B37" s="224" t="s">
        <v>257</v>
      </c>
      <c r="C37" s="224" t="s">
        <v>7989</v>
      </c>
      <c r="D37" s="224"/>
      <c r="E37" s="223">
        <v>13</v>
      </c>
      <c r="F37" s="225">
        <v>56</v>
      </c>
      <c r="G37" s="223"/>
      <c r="I37" s="253">
        <v>43</v>
      </c>
      <c r="S37" s="218">
        <v>1473.1415979999999</v>
      </c>
      <c r="T37" s="180"/>
      <c r="Y37" s="218">
        <v>585.15239510000004</v>
      </c>
      <c r="Z37" s="180"/>
      <c r="AA37" s="218">
        <v>64458.02463</v>
      </c>
      <c r="AB37" s="180"/>
      <c r="AC37" s="252">
        <v>29.59353643</v>
      </c>
      <c r="AD37" s="180"/>
      <c r="AG37" s="218">
        <v>4.5911330049999997</v>
      </c>
      <c r="AH37" s="180"/>
      <c r="AM37" s="252">
        <v>87</v>
      </c>
      <c r="BS37" s="218">
        <v>49.779167200000003</v>
      </c>
      <c r="BT37" s="180"/>
      <c r="BU37" s="218">
        <v>19.7729797</v>
      </c>
      <c r="BV37" s="180"/>
    </row>
    <row r="38" spans="1:74">
      <c r="A38" s="123" t="s">
        <v>7726</v>
      </c>
      <c r="B38" s="224" t="s">
        <v>259</v>
      </c>
      <c r="C38" s="224" t="s">
        <v>405</v>
      </c>
      <c r="D38" s="224"/>
      <c r="E38" s="222">
        <v>2</v>
      </c>
      <c r="F38" s="225">
        <v>52</v>
      </c>
      <c r="G38" s="223"/>
      <c r="I38" s="253">
        <v>37</v>
      </c>
      <c r="S38" s="218">
        <v>1627.6498200000001</v>
      </c>
      <c r="T38" s="180"/>
      <c r="Y38" s="218">
        <v>647.27766389999999</v>
      </c>
      <c r="Z38" s="180"/>
      <c r="AA38" s="218">
        <v>72338.511939999997</v>
      </c>
      <c r="AB38" s="180"/>
      <c r="AC38" s="252">
        <v>33.050598620000002</v>
      </c>
      <c r="AD38" s="180"/>
      <c r="AG38" s="218">
        <v>4.5688800790000004</v>
      </c>
      <c r="AH38" s="180"/>
      <c r="AM38" s="252">
        <v>89</v>
      </c>
      <c r="BS38" s="218">
        <v>49.247211499999999</v>
      </c>
      <c r="BT38" s="180"/>
      <c r="BU38" s="218">
        <v>19.584446</v>
      </c>
      <c r="BV38" s="180"/>
    </row>
    <row r="39" spans="1:74">
      <c r="A39" s="123" t="s">
        <v>7726</v>
      </c>
      <c r="B39" s="224" t="s">
        <v>259</v>
      </c>
      <c r="C39" s="224" t="s">
        <v>7987</v>
      </c>
      <c r="D39" s="224"/>
      <c r="E39" s="222">
        <v>8</v>
      </c>
      <c r="F39" s="225">
        <v>7</v>
      </c>
      <c r="G39" s="223"/>
      <c r="I39" s="253">
        <v>34</v>
      </c>
      <c r="S39" s="218">
        <v>1956.3657840000001</v>
      </c>
      <c r="T39" s="180"/>
      <c r="Y39" s="218">
        <v>842.27736159999995</v>
      </c>
      <c r="Z39" s="180"/>
      <c r="AA39" s="218">
        <v>81599.727450000006</v>
      </c>
      <c r="AB39" s="180"/>
      <c r="AC39" s="252">
        <v>40.280120240000002</v>
      </c>
      <c r="AD39" s="180"/>
      <c r="AG39" s="218">
        <v>4.9363057320000001</v>
      </c>
      <c r="AH39" s="180"/>
      <c r="AM39" s="252">
        <v>89</v>
      </c>
      <c r="BS39" s="218">
        <v>48.569015499999999</v>
      </c>
      <c r="BT39" s="180"/>
      <c r="BU39" s="218">
        <v>20.910497700000001</v>
      </c>
      <c r="BV39" s="180"/>
    </row>
    <row r="40" spans="1:74">
      <c r="A40" s="123" t="s">
        <v>7726</v>
      </c>
      <c r="B40" s="224" t="s">
        <v>259</v>
      </c>
      <c r="C40" s="224" t="s">
        <v>7988</v>
      </c>
      <c r="D40" s="224"/>
      <c r="E40" s="222">
        <v>12</v>
      </c>
      <c r="F40" s="225">
        <v>58</v>
      </c>
      <c r="G40" s="223"/>
      <c r="I40" s="253">
        <v>38</v>
      </c>
      <c r="S40" s="218">
        <v>1998.543287</v>
      </c>
      <c r="T40" s="180"/>
      <c r="Y40" s="218">
        <v>851.4104178</v>
      </c>
      <c r="Z40" s="180"/>
      <c r="AA40" s="218">
        <v>86689.454280000005</v>
      </c>
      <c r="AB40" s="180"/>
      <c r="AC40" s="252">
        <v>41.36222403</v>
      </c>
      <c r="AD40" s="180"/>
      <c r="AG40" s="218">
        <v>4.7713097710000003</v>
      </c>
      <c r="AH40" s="180"/>
      <c r="AM40" s="252">
        <v>89</v>
      </c>
      <c r="BS40" s="218">
        <v>48.318080899999998</v>
      </c>
      <c r="BT40" s="180"/>
      <c r="BU40" s="218">
        <v>20.584251399999999</v>
      </c>
      <c r="BV40" s="180"/>
    </row>
    <row r="41" spans="1:74">
      <c r="A41" s="125" t="s">
        <v>7726</v>
      </c>
      <c r="B41" s="224" t="s">
        <v>259</v>
      </c>
      <c r="C41" s="224" t="s">
        <v>7989</v>
      </c>
      <c r="D41" s="224"/>
      <c r="E41" s="222">
        <v>13</v>
      </c>
      <c r="F41" s="225">
        <v>20</v>
      </c>
      <c r="G41" s="223"/>
      <c r="I41" s="253">
        <v>36</v>
      </c>
      <c r="S41" s="218">
        <v>1652.2095959999999</v>
      </c>
      <c r="T41" s="180"/>
      <c r="Y41" s="218">
        <v>673.59996669999998</v>
      </c>
      <c r="Z41" s="180"/>
      <c r="AA41" s="218">
        <v>76318.714259999993</v>
      </c>
      <c r="AB41" s="180"/>
      <c r="AC41" s="252">
        <v>33.67645271</v>
      </c>
      <c r="AD41" s="180"/>
      <c r="AG41" s="218">
        <v>4.4126074500000003</v>
      </c>
      <c r="AH41" s="180"/>
      <c r="AM41" s="252">
        <v>87</v>
      </c>
      <c r="BS41" s="218">
        <v>49.061271699999999</v>
      </c>
      <c r="BT41" s="180"/>
      <c r="BU41" s="218">
        <v>20.002105700000001</v>
      </c>
      <c r="BV41" s="180"/>
    </row>
    <row r="42" spans="1:74">
      <c r="A42" s="123" t="s">
        <v>7727</v>
      </c>
      <c r="B42" s="224" t="s">
        <v>257</v>
      </c>
      <c r="C42" s="224" t="s">
        <v>405</v>
      </c>
      <c r="D42" s="224"/>
      <c r="E42" s="223">
        <v>2</v>
      </c>
      <c r="F42" s="225">
        <v>23</v>
      </c>
      <c r="G42" s="223"/>
      <c r="I42" s="253">
        <v>40</v>
      </c>
      <c r="S42" s="218">
        <v>1479.660224</v>
      </c>
      <c r="T42" s="180"/>
      <c r="Y42" s="218">
        <v>512.33831210000005</v>
      </c>
      <c r="Z42" s="180"/>
      <c r="AA42" s="218">
        <v>61797.41087</v>
      </c>
      <c r="AB42" s="180"/>
      <c r="AC42" s="252">
        <v>28.987445300000001</v>
      </c>
      <c r="AD42" s="180"/>
      <c r="AG42" s="218">
        <v>4.6907216490000003</v>
      </c>
      <c r="AH42" s="180"/>
      <c r="AM42" s="252">
        <v>83</v>
      </c>
      <c r="BS42" s="218">
        <v>51.044864699999998</v>
      </c>
      <c r="BT42" s="180"/>
      <c r="BU42" s="218">
        <v>17.674489999999999</v>
      </c>
      <c r="BV42" s="180"/>
    </row>
    <row r="43" spans="1:74">
      <c r="A43" s="123" t="s">
        <v>7727</v>
      </c>
      <c r="B43" s="224" t="s">
        <v>257</v>
      </c>
      <c r="C43" s="224" t="s">
        <v>7987</v>
      </c>
      <c r="D43" s="224"/>
      <c r="E43" s="223">
        <v>6</v>
      </c>
      <c r="F43" s="225">
        <v>64</v>
      </c>
      <c r="G43" s="223"/>
      <c r="I43" s="253">
        <v>36</v>
      </c>
      <c r="S43" s="218">
        <v>1630.617878</v>
      </c>
      <c r="T43" s="180"/>
      <c r="Y43" s="218">
        <v>644.61260140000002</v>
      </c>
      <c r="Z43" s="180"/>
      <c r="AA43" s="218">
        <v>73238.2932</v>
      </c>
      <c r="AB43" s="180"/>
      <c r="AC43" s="252">
        <v>33.38071867</v>
      </c>
      <c r="AD43" s="180"/>
      <c r="AG43" s="218">
        <v>4.557823129</v>
      </c>
      <c r="AH43" s="180"/>
      <c r="AM43" s="252">
        <v>83</v>
      </c>
      <c r="BS43" s="218">
        <v>48.849094399999998</v>
      </c>
      <c r="BT43" s="180"/>
      <c r="BU43" s="218">
        <v>19.3109264</v>
      </c>
      <c r="BV43" s="180"/>
    </row>
    <row r="44" spans="1:74">
      <c r="A44" s="123" t="s">
        <v>7727</v>
      </c>
      <c r="B44" s="224" t="s">
        <v>257</v>
      </c>
      <c r="C44" s="224" t="s">
        <v>7988</v>
      </c>
      <c r="D44" s="224"/>
      <c r="E44" s="222">
        <v>9</v>
      </c>
      <c r="F44" s="225">
        <v>13</v>
      </c>
      <c r="G44" s="223"/>
      <c r="I44" s="253">
        <v>33</v>
      </c>
      <c r="S44" s="218">
        <v>1680.476868</v>
      </c>
      <c r="T44" s="180"/>
      <c r="Y44" s="218">
        <v>600.64867070000003</v>
      </c>
      <c r="Z44" s="180"/>
      <c r="AA44" s="218">
        <v>68502.09014</v>
      </c>
      <c r="AB44" s="180"/>
      <c r="AC44" s="252">
        <v>33.153028110000001</v>
      </c>
      <c r="AD44" s="180"/>
      <c r="AG44" s="218">
        <v>4.8397104449999997</v>
      </c>
      <c r="AH44" s="180"/>
      <c r="AM44" s="252">
        <v>81</v>
      </c>
      <c r="BS44" s="218">
        <v>50.688488</v>
      </c>
      <c r="BT44" s="180"/>
      <c r="BU44" s="218">
        <v>18.117460300000001</v>
      </c>
      <c r="BV44" s="180"/>
    </row>
    <row r="45" spans="1:74">
      <c r="A45" s="123" t="s">
        <v>7727</v>
      </c>
      <c r="B45" s="224" t="s">
        <v>257</v>
      </c>
      <c r="C45" s="224" t="s">
        <v>7989</v>
      </c>
      <c r="D45" s="224"/>
      <c r="E45" s="222">
        <v>14</v>
      </c>
      <c r="F45" s="225">
        <v>61</v>
      </c>
      <c r="G45" s="223"/>
      <c r="I45" s="253">
        <v>38</v>
      </c>
      <c r="S45" s="218">
        <v>1474.6999450000001</v>
      </c>
      <c r="T45" s="180"/>
      <c r="Y45" s="218">
        <v>556.34107619999997</v>
      </c>
      <c r="Z45" s="180"/>
      <c r="AA45" s="218">
        <v>63279.396509999999</v>
      </c>
      <c r="AB45" s="180"/>
      <c r="AC45" s="252">
        <v>29.880159930000001</v>
      </c>
      <c r="AD45" s="180"/>
      <c r="AG45" s="218">
        <v>4.7219413550000002</v>
      </c>
      <c r="AH45" s="180"/>
      <c r="AM45" s="252">
        <v>83</v>
      </c>
      <c r="BS45" s="218">
        <v>49.353816999999999</v>
      </c>
      <c r="BT45" s="180"/>
      <c r="BU45" s="218">
        <v>18.619079599999999</v>
      </c>
      <c r="BV45" s="180"/>
    </row>
    <row r="46" spans="1:74">
      <c r="A46" s="123" t="s">
        <v>7727</v>
      </c>
      <c r="B46" s="224" t="s">
        <v>259</v>
      </c>
      <c r="C46" s="224" t="s">
        <v>405</v>
      </c>
      <c r="D46" s="224"/>
      <c r="E46" s="222">
        <v>2</v>
      </c>
      <c r="F46" s="225">
        <v>37</v>
      </c>
      <c r="G46" s="223"/>
      <c r="I46" s="253">
        <v>37</v>
      </c>
      <c r="S46" s="218">
        <v>1390.3139229999999</v>
      </c>
      <c r="T46" s="180"/>
      <c r="Y46" s="218">
        <v>543.05116169999997</v>
      </c>
      <c r="Z46" s="180"/>
      <c r="AA46" s="218">
        <v>62281.353949999997</v>
      </c>
      <c r="AB46" s="180"/>
      <c r="AC46" s="252">
        <v>28.174898209999998</v>
      </c>
      <c r="AD46" s="180"/>
      <c r="AG46" s="218">
        <v>4.5238095239999998</v>
      </c>
      <c r="AH46" s="180"/>
      <c r="AM46" s="252">
        <v>83</v>
      </c>
      <c r="BS46" s="218">
        <v>49.345836599999998</v>
      </c>
      <c r="BT46" s="180"/>
      <c r="BU46" s="218">
        <v>19.274290100000002</v>
      </c>
      <c r="BV46" s="180"/>
    </row>
    <row r="47" spans="1:74">
      <c r="A47" s="123" t="s">
        <v>7727</v>
      </c>
      <c r="B47" s="224" t="s">
        <v>259</v>
      </c>
      <c r="C47" s="224" t="s">
        <v>7987</v>
      </c>
      <c r="D47" s="224"/>
      <c r="E47" s="222">
        <v>7</v>
      </c>
      <c r="F47" s="225">
        <v>22</v>
      </c>
      <c r="G47" s="223"/>
      <c r="I47" s="253">
        <v>42</v>
      </c>
      <c r="S47" s="218">
        <v>1787.0818380000001</v>
      </c>
      <c r="T47" s="180"/>
      <c r="Y47" s="218">
        <v>822.59580689999996</v>
      </c>
      <c r="Z47" s="180"/>
      <c r="AA47" s="218">
        <v>76684.197329999995</v>
      </c>
      <c r="AB47" s="180"/>
      <c r="AC47" s="252">
        <v>36.51628444</v>
      </c>
      <c r="AD47" s="180"/>
      <c r="AG47" s="218">
        <v>4.7619047620000003</v>
      </c>
      <c r="AH47" s="180"/>
      <c r="AM47" s="252">
        <v>81</v>
      </c>
      <c r="BS47" s="218">
        <v>48.939312000000001</v>
      </c>
      <c r="BT47" s="180"/>
      <c r="BU47" s="218" t="s">
        <v>7956</v>
      </c>
      <c r="BV47" s="180"/>
    </row>
    <row r="48" spans="1:74">
      <c r="A48" s="123" t="s">
        <v>7727</v>
      </c>
      <c r="B48" s="224" t="s">
        <v>259</v>
      </c>
      <c r="C48" s="224" t="s">
        <v>7988</v>
      </c>
      <c r="D48" s="224"/>
      <c r="E48" s="223">
        <v>9</v>
      </c>
      <c r="F48" s="225">
        <v>50</v>
      </c>
      <c r="G48" s="223"/>
      <c r="I48" s="253">
        <v>34</v>
      </c>
      <c r="S48" s="218">
        <v>2080.5541499999999</v>
      </c>
      <c r="T48" s="180"/>
      <c r="Y48" s="218">
        <v>768.81896630000006</v>
      </c>
      <c r="Z48" s="180"/>
      <c r="AA48" s="218">
        <v>85581.74467</v>
      </c>
      <c r="AB48" s="180"/>
      <c r="AC48" s="252">
        <v>41.654026629999997</v>
      </c>
      <c r="AD48" s="180"/>
      <c r="AG48" s="218">
        <v>4.8671625929999998</v>
      </c>
      <c r="AH48" s="180"/>
      <c r="AM48" s="252">
        <v>83</v>
      </c>
      <c r="BS48" s="218">
        <v>49.948452000000003</v>
      </c>
      <c r="BT48" s="180"/>
      <c r="BU48" s="218">
        <v>18.4572544</v>
      </c>
      <c r="BV48" s="180"/>
    </row>
    <row r="49" spans="1:74">
      <c r="A49" s="123" t="s">
        <v>7727</v>
      </c>
      <c r="B49" s="224" t="s">
        <v>259</v>
      </c>
      <c r="C49" s="224" t="s">
        <v>7989</v>
      </c>
      <c r="D49" s="224"/>
      <c r="E49" s="223">
        <v>15</v>
      </c>
      <c r="F49" s="225">
        <v>25</v>
      </c>
      <c r="G49" s="223"/>
      <c r="I49" s="253">
        <v>37</v>
      </c>
      <c r="S49" s="218">
        <v>1993.72308</v>
      </c>
      <c r="T49" s="180"/>
      <c r="Y49" s="218">
        <v>784.19914630000005</v>
      </c>
      <c r="Z49" s="180"/>
      <c r="AA49" s="218">
        <v>88523.470390000002</v>
      </c>
      <c r="AB49" s="180"/>
      <c r="AC49" s="252">
        <v>40.883981370000001</v>
      </c>
      <c r="AD49" s="180"/>
      <c r="AG49" s="218">
        <v>4.6184340930000003</v>
      </c>
      <c r="AH49" s="180"/>
      <c r="AM49" s="252">
        <v>83</v>
      </c>
      <c r="BS49" s="218">
        <v>48.765384699999998</v>
      </c>
      <c r="BT49" s="180"/>
      <c r="BU49" s="218">
        <v>19.181085599999999</v>
      </c>
      <c r="BV49" s="180"/>
    </row>
    <row r="50" spans="1:74">
      <c r="A50" s="123" t="s">
        <v>7728</v>
      </c>
      <c r="B50" s="224" t="s">
        <v>257</v>
      </c>
      <c r="C50" s="224" t="s">
        <v>405</v>
      </c>
      <c r="D50" s="224"/>
      <c r="E50" s="222">
        <v>4</v>
      </c>
      <c r="F50" s="225">
        <v>11</v>
      </c>
      <c r="G50" s="223"/>
      <c r="I50" s="253">
        <v>38</v>
      </c>
      <c r="S50" s="218">
        <v>1686.840193</v>
      </c>
      <c r="T50" s="180"/>
      <c r="Y50" s="218">
        <v>611.47998800000005</v>
      </c>
      <c r="Z50" s="180"/>
      <c r="AA50" s="218">
        <v>64339.34476</v>
      </c>
      <c r="AB50" s="180"/>
      <c r="AC50" s="252">
        <v>33.16168871</v>
      </c>
      <c r="AD50" s="180"/>
      <c r="AG50" s="218">
        <v>5.1541850220000001</v>
      </c>
      <c r="AH50" s="180"/>
      <c r="AM50" s="252">
        <v>89</v>
      </c>
      <c r="BS50" s="218">
        <v>50.867137900000003</v>
      </c>
      <c r="BT50" s="180"/>
      <c r="BU50" s="218">
        <v>18.439350099999999</v>
      </c>
      <c r="BV50" s="180"/>
    </row>
    <row r="51" spans="1:74">
      <c r="A51" s="123" t="s">
        <v>7728</v>
      </c>
      <c r="B51" s="224" t="s">
        <v>257</v>
      </c>
      <c r="C51" s="224" t="s">
        <v>7987</v>
      </c>
      <c r="D51" s="224"/>
      <c r="E51" s="222">
        <v>5</v>
      </c>
      <c r="F51" s="225">
        <v>38</v>
      </c>
      <c r="G51" s="223"/>
      <c r="I51" s="253">
        <v>37</v>
      </c>
      <c r="S51" s="218">
        <v>1365.7669860000001</v>
      </c>
      <c r="T51" s="180"/>
      <c r="Y51" s="218">
        <v>495.47285599999998</v>
      </c>
      <c r="Z51" s="180"/>
      <c r="AA51" s="218">
        <v>55887.43406</v>
      </c>
      <c r="AB51" s="180"/>
      <c r="AC51" s="252">
        <v>26.774523850000001</v>
      </c>
      <c r="AD51" s="180"/>
      <c r="AG51" s="218">
        <v>4.7907949790000002</v>
      </c>
      <c r="AH51" s="180"/>
      <c r="AM51" s="252">
        <v>89</v>
      </c>
      <c r="BS51" s="218">
        <v>51.009944900000001</v>
      </c>
      <c r="BT51" s="180"/>
      <c r="BU51" s="218">
        <v>18.505384400000001</v>
      </c>
      <c r="BV51" s="180"/>
    </row>
    <row r="52" spans="1:74">
      <c r="A52" s="123" t="s">
        <v>7728</v>
      </c>
      <c r="B52" s="224" t="s">
        <v>257</v>
      </c>
      <c r="C52" s="224" t="s">
        <v>7988</v>
      </c>
      <c r="D52" s="224"/>
      <c r="E52" s="222">
        <v>10</v>
      </c>
      <c r="F52" s="225">
        <v>9</v>
      </c>
      <c r="G52" s="223"/>
      <c r="I52" s="253">
        <v>37</v>
      </c>
      <c r="S52" s="218">
        <v>1180.672086</v>
      </c>
      <c r="T52" s="180"/>
      <c r="Y52" s="218">
        <v>454.61000289999998</v>
      </c>
      <c r="Z52" s="180"/>
      <c r="AA52" s="218">
        <v>47624.558920000003</v>
      </c>
      <c r="AB52" s="180"/>
      <c r="AC52" s="252">
        <v>23.760625919999999</v>
      </c>
      <c r="AD52" s="180"/>
      <c r="AG52" s="218">
        <v>4.9891540130000003</v>
      </c>
      <c r="AH52" s="180"/>
      <c r="AM52" s="252">
        <v>87</v>
      </c>
      <c r="BS52" s="218">
        <v>49.690277100000003</v>
      </c>
      <c r="BT52" s="180"/>
      <c r="BU52" s="218">
        <v>19.132913599999998</v>
      </c>
      <c r="BV52" s="180"/>
    </row>
    <row r="53" spans="1:74">
      <c r="A53" s="123" t="s">
        <v>7728</v>
      </c>
      <c r="B53" s="224" t="s">
        <v>257</v>
      </c>
      <c r="C53" s="224" t="s">
        <v>7989</v>
      </c>
      <c r="D53" s="224"/>
      <c r="E53" s="222">
        <v>13</v>
      </c>
      <c r="F53" s="225">
        <v>62</v>
      </c>
      <c r="G53" s="223"/>
      <c r="I53" s="253">
        <v>33</v>
      </c>
      <c r="S53" s="218">
        <v>1842.2643880000001</v>
      </c>
      <c r="T53" s="180"/>
      <c r="Y53" s="218">
        <v>788.26635099999999</v>
      </c>
      <c r="Z53" s="180"/>
      <c r="AA53" s="218">
        <v>76621.034400000004</v>
      </c>
      <c r="AB53" s="180"/>
      <c r="AC53" s="252">
        <v>37.387855530000003</v>
      </c>
      <c r="AD53" s="180"/>
      <c r="AG53" s="218">
        <v>4.8795811520000001</v>
      </c>
      <c r="AH53" s="180"/>
      <c r="AM53" s="252">
        <v>92</v>
      </c>
      <c r="BS53" s="218">
        <v>49.274406399999997</v>
      </c>
      <c r="BT53" s="180"/>
      <c r="BU53" s="218">
        <v>21.083486600000001</v>
      </c>
      <c r="BV53" s="180"/>
    </row>
    <row r="54" spans="1:74">
      <c r="A54" s="123" t="s">
        <v>7728</v>
      </c>
      <c r="B54" s="224" t="s">
        <v>259</v>
      </c>
      <c r="C54" s="224" t="s">
        <v>405</v>
      </c>
      <c r="D54" s="224"/>
      <c r="E54" s="222">
        <v>3</v>
      </c>
      <c r="F54" s="225">
        <v>44</v>
      </c>
      <c r="G54" s="223"/>
      <c r="I54" s="253">
        <v>39</v>
      </c>
      <c r="S54" s="218">
        <v>1807.546961</v>
      </c>
      <c r="T54" s="180"/>
      <c r="Y54" s="218">
        <v>693.86650399999996</v>
      </c>
      <c r="Z54" s="180"/>
      <c r="AA54" s="218">
        <v>75448.698409999997</v>
      </c>
      <c r="AB54" s="180"/>
      <c r="AC54" s="252">
        <v>36.050306880000001</v>
      </c>
      <c r="AD54" s="180"/>
      <c r="AG54" s="218">
        <v>4.7781217749999998</v>
      </c>
      <c r="AH54" s="180"/>
      <c r="AM54" s="252">
        <v>89</v>
      </c>
      <c r="BS54" s="218">
        <v>50.139572100000002</v>
      </c>
      <c r="BT54" s="180"/>
      <c r="BU54" s="218">
        <v>19.2471733</v>
      </c>
      <c r="BV54" s="180"/>
    </row>
    <row r="55" spans="1:74">
      <c r="A55" s="123" t="s">
        <v>7728</v>
      </c>
      <c r="B55" s="224" t="s">
        <v>259</v>
      </c>
      <c r="C55" s="224" t="s">
        <v>7987</v>
      </c>
      <c r="D55" s="224"/>
      <c r="E55" s="223">
        <v>8</v>
      </c>
      <c r="F55" s="225">
        <v>22</v>
      </c>
      <c r="G55" s="223"/>
      <c r="I55" s="253">
        <v>36</v>
      </c>
      <c r="S55" s="218">
        <v>1696.4232609999999</v>
      </c>
      <c r="T55" s="180"/>
      <c r="Y55" s="218">
        <v>648.97792879999997</v>
      </c>
      <c r="Z55" s="180"/>
      <c r="AA55" s="218">
        <v>65738.773459999997</v>
      </c>
      <c r="AB55" s="180"/>
      <c r="AC55" s="252">
        <v>34.084044919999997</v>
      </c>
      <c r="AD55" s="180"/>
      <c r="AG55" s="218">
        <v>5.1847704370000001</v>
      </c>
      <c r="AH55" s="180"/>
      <c r="AM55" s="252">
        <v>89</v>
      </c>
      <c r="BS55" s="218">
        <v>49.771770500000002</v>
      </c>
      <c r="BT55" s="180"/>
      <c r="BU55" s="218">
        <v>19.040519700000001</v>
      </c>
      <c r="BV55" s="180"/>
    </row>
    <row r="56" spans="1:74">
      <c r="A56" s="123" t="s">
        <v>7728</v>
      </c>
      <c r="B56" s="224" t="s">
        <v>259</v>
      </c>
      <c r="C56" s="224" t="s">
        <v>7988</v>
      </c>
      <c r="D56" s="224"/>
      <c r="E56" s="222">
        <v>9</v>
      </c>
      <c r="F56" s="225">
        <v>42</v>
      </c>
      <c r="G56" s="223"/>
      <c r="I56" s="253">
        <v>40</v>
      </c>
      <c r="S56" s="218">
        <v>1852.476332</v>
      </c>
      <c r="T56" s="180"/>
      <c r="Y56" s="218">
        <v>732.73387660000003</v>
      </c>
      <c r="Z56" s="180"/>
      <c r="AA56" s="218">
        <v>75816.225040000005</v>
      </c>
      <c r="AB56" s="180"/>
      <c r="AC56" s="252">
        <v>37.501373119999997</v>
      </c>
      <c r="AD56" s="180"/>
      <c r="AG56" s="218">
        <v>4.9463519309999997</v>
      </c>
      <c r="AH56" s="180"/>
      <c r="AM56" s="252">
        <v>89</v>
      </c>
      <c r="BS56" s="218">
        <v>49.3975601</v>
      </c>
      <c r="BT56" s="180"/>
      <c r="BU56" s="218">
        <v>19.538854600000001</v>
      </c>
      <c r="BV56" s="180"/>
    </row>
    <row r="57" spans="1:74">
      <c r="A57" s="123" t="s">
        <v>7728</v>
      </c>
      <c r="B57" s="224" t="s">
        <v>259</v>
      </c>
      <c r="C57" s="224" t="s">
        <v>7989</v>
      </c>
      <c r="D57" s="224"/>
      <c r="E57" s="222">
        <v>15</v>
      </c>
      <c r="F57" s="225">
        <v>29</v>
      </c>
      <c r="G57" s="223"/>
      <c r="I57" s="253">
        <v>37</v>
      </c>
      <c r="S57" s="218">
        <v>1842.4710729999999</v>
      </c>
      <c r="T57" s="180"/>
      <c r="Y57" s="218">
        <v>730.68044010000006</v>
      </c>
      <c r="Z57" s="180"/>
      <c r="AA57" s="218">
        <v>74733.511110000007</v>
      </c>
      <c r="AB57" s="180"/>
      <c r="AC57" s="252">
        <v>37.087004440000001</v>
      </c>
      <c r="AD57" s="180"/>
      <c r="AG57" s="218">
        <v>4.9625668449999996</v>
      </c>
      <c r="AH57" s="180"/>
      <c r="AM57" s="252">
        <v>89</v>
      </c>
      <c r="BS57" s="218">
        <v>49.679695100000004</v>
      </c>
      <c r="BT57" s="180"/>
      <c r="BU57" s="218">
        <v>19.701791799999999</v>
      </c>
      <c r="BV57" s="180"/>
    </row>
    <row r="58" spans="1:74">
      <c r="A58" s="123" t="s">
        <v>7729</v>
      </c>
      <c r="B58" s="224" t="s">
        <v>257</v>
      </c>
      <c r="C58" s="224" t="s">
        <v>405</v>
      </c>
      <c r="D58" s="224"/>
      <c r="E58" s="222">
        <v>3</v>
      </c>
      <c r="F58" s="225">
        <v>23</v>
      </c>
      <c r="G58" s="223"/>
      <c r="I58" s="253">
        <v>32</v>
      </c>
      <c r="S58" s="218">
        <v>1917.927144</v>
      </c>
      <c r="T58" s="180"/>
      <c r="Y58" s="218">
        <v>653.18259090000004</v>
      </c>
      <c r="Z58" s="180"/>
      <c r="AA58" s="218">
        <v>74039.995639999994</v>
      </c>
      <c r="AB58" s="180"/>
      <c r="AC58" s="252">
        <v>37.341910839999997</v>
      </c>
      <c r="AD58" s="180"/>
      <c r="AG58" s="218">
        <v>5.0434782609999997</v>
      </c>
      <c r="AH58" s="180"/>
      <c r="AM58" s="252">
        <v>87</v>
      </c>
      <c r="BS58" s="218">
        <v>51.361248000000003</v>
      </c>
      <c r="BT58" s="180"/>
      <c r="BU58" s="218">
        <v>17.4919434</v>
      </c>
      <c r="BV58" s="180"/>
    </row>
    <row r="59" spans="1:74">
      <c r="A59" s="123" t="s">
        <v>7729</v>
      </c>
      <c r="B59" s="224" t="s">
        <v>257</v>
      </c>
      <c r="C59" s="224" t="s">
        <v>7987</v>
      </c>
      <c r="D59" s="224"/>
      <c r="E59" s="222">
        <v>7</v>
      </c>
      <c r="F59" s="225">
        <v>51</v>
      </c>
      <c r="G59" s="223"/>
      <c r="I59" s="253">
        <v>27</v>
      </c>
      <c r="S59" s="218">
        <v>1761.526057</v>
      </c>
      <c r="T59" s="180"/>
      <c r="Y59" s="218">
        <v>682.33101829999998</v>
      </c>
      <c r="Z59" s="180"/>
      <c r="AA59" s="218">
        <v>72117.407340000005</v>
      </c>
      <c r="AB59" s="180"/>
      <c r="AC59" s="252">
        <v>35.600330319999998</v>
      </c>
      <c r="AD59" s="180"/>
      <c r="AG59" s="218">
        <v>4.9364406780000003</v>
      </c>
      <c r="AH59" s="180"/>
      <c r="AM59" s="252">
        <v>89</v>
      </c>
      <c r="BS59" s="218">
        <v>49.480609899999997</v>
      </c>
      <c r="BT59" s="180"/>
      <c r="BU59" s="218">
        <v>19.1664238</v>
      </c>
      <c r="BV59" s="180"/>
    </row>
    <row r="60" spans="1:74">
      <c r="A60" s="123" t="s">
        <v>7729</v>
      </c>
      <c r="B60" s="224" t="s">
        <v>257</v>
      </c>
      <c r="C60" s="224" t="s">
        <v>7988</v>
      </c>
      <c r="D60" s="224"/>
      <c r="E60" s="222">
        <v>10</v>
      </c>
      <c r="F60" s="225">
        <v>21</v>
      </c>
      <c r="G60" s="223"/>
      <c r="I60" s="253">
        <v>36</v>
      </c>
      <c r="S60" s="218">
        <v>1671.5451909999999</v>
      </c>
      <c r="T60" s="180"/>
      <c r="Y60" s="218">
        <v>574.15328950000003</v>
      </c>
      <c r="Z60" s="180"/>
      <c r="AA60" s="218">
        <v>65569.913709999993</v>
      </c>
      <c r="AB60" s="180"/>
      <c r="AC60" s="252">
        <v>33.071288359999997</v>
      </c>
      <c r="AD60" s="180"/>
      <c r="AG60" s="218">
        <v>5.0436681219999997</v>
      </c>
      <c r="AH60" s="180"/>
      <c r="AM60" s="252">
        <v>87</v>
      </c>
      <c r="BS60" s="218">
        <v>50.543697399999999</v>
      </c>
      <c r="BT60" s="180"/>
      <c r="BU60" s="218">
        <v>17.3610802</v>
      </c>
      <c r="BV60" s="180"/>
    </row>
    <row r="61" spans="1:74">
      <c r="A61" s="123" t="s">
        <v>7729</v>
      </c>
      <c r="B61" s="224" t="s">
        <v>257</v>
      </c>
      <c r="C61" s="224" t="s">
        <v>7989</v>
      </c>
      <c r="D61" s="224"/>
      <c r="E61" s="223">
        <v>13</v>
      </c>
      <c r="F61" s="225">
        <v>60</v>
      </c>
      <c r="G61" s="223"/>
      <c r="I61" s="253">
        <v>32</v>
      </c>
      <c r="S61" s="218">
        <v>1875.768855</v>
      </c>
      <c r="T61" s="180"/>
      <c r="Y61" s="218">
        <v>688.2497022</v>
      </c>
      <c r="Z61" s="180"/>
      <c r="AA61" s="218">
        <v>79328.228000000003</v>
      </c>
      <c r="AB61" s="180"/>
      <c r="AC61" s="252">
        <v>37.610439059999997</v>
      </c>
      <c r="AD61" s="180"/>
      <c r="AG61" s="218">
        <v>4.7411167509999999</v>
      </c>
      <c r="AH61" s="180"/>
      <c r="AM61" s="252">
        <v>89</v>
      </c>
      <c r="BS61" s="218">
        <v>49.873622900000001</v>
      </c>
      <c r="BT61" s="180"/>
      <c r="BU61" s="218">
        <v>18.299432800000002</v>
      </c>
      <c r="BV61" s="180"/>
    </row>
    <row r="62" spans="1:74">
      <c r="A62" s="123" t="s">
        <v>7729</v>
      </c>
      <c r="B62" s="224" t="s">
        <v>259</v>
      </c>
      <c r="C62" s="224" t="s">
        <v>405</v>
      </c>
      <c r="D62" s="224"/>
      <c r="E62" s="222">
        <v>4</v>
      </c>
      <c r="F62" s="225">
        <v>58</v>
      </c>
      <c r="G62" s="223"/>
      <c r="I62" s="253">
        <v>41</v>
      </c>
      <c r="S62" s="218">
        <v>1508.3380540000001</v>
      </c>
      <c r="T62" s="180"/>
      <c r="Y62" s="218">
        <v>588.38738330000001</v>
      </c>
      <c r="Z62" s="180"/>
      <c r="AA62" s="218">
        <v>59459.980739999999</v>
      </c>
      <c r="AB62" s="180"/>
      <c r="AC62" s="252">
        <v>30.34464741</v>
      </c>
      <c r="AD62" s="180"/>
      <c r="AG62" s="218">
        <v>5.103373232</v>
      </c>
      <c r="AH62" s="180"/>
      <c r="AM62" s="252">
        <v>89</v>
      </c>
      <c r="BS62" s="218">
        <v>49.706890100000003</v>
      </c>
      <c r="BT62" s="180"/>
      <c r="BU62" s="218">
        <v>19.390153900000001</v>
      </c>
      <c r="BV62" s="180"/>
    </row>
    <row r="63" spans="1:74">
      <c r="A63" s="123" t="s">
        <v>7729</v>
      </c>
      <c r="B63" s="224" t="s">
        <v>259</v>
      </c>
      <c r="C63" s="224" t="s">
        <v>7987</v>
      </c>
      <c r="D63" s="224"/>
      <c r="E63" s="222">
        <v>5</v>
      </c>
      <c r="F63" s="225">
        <v>32</v>
      </c>
      <c r="G63" s="223"/>
      <c r="I63" s="253">
        <v>43</v>
      </c>
      <c r="S63" s="218">
        <v>2196.9336960000001</v>
      </c>
      <c r="T63" s="180"/>
      <c r="Y63" s="218">
        <v>790.58745320000003</v>
      </c>
      <c r="Z63" s="180"/>
      <c r="AA63" s="218">
        <v>86933.500230000005</v>
      </c>
      <c r="AB63" s="180"/>
      <c r="AC63" s="252">
        <v>43.37387245</v>
      </c>
      <c r="AD63" s="180"/>
      <c r="AG63" s="218">
        <v>4.9893162389999999</v>
      </c>
      <c r="AH63" s="180"/>
      <c r="AM63" s="252">
        <v>87</v>
      </c>
      <c r="BS63" s="218">
        <v>50.651084900000001</v>
      </c>
      <c r="BT63" s="180"/>
      <c r="BU63" s="218">
        <v>18.2272739</v>
      </c>
      <c r="BV63" s="180"/>
    </row>
    <row r="64" spans="1:74">
      <c r="A64" s="123" t="s">
        <v>7729</v>
      </c>
      <c r="B64" s="224" t="s">
        <v>259</v>
      </c>
      <c r="C64" s="224" t="s">
        <v>7988</v>
      </c>
      <c r="D64" s="224"/>
      <c r="E64" s="222">
        <v>11</v>
      </c>
      <c r="F64" s="225">
        <v>56</v>
      </c>
      <c r="G64" s="223"/>
      <c r="I64" s="253">
        <v>42</v>
      </c>
      <c r="S64" s="218">
        <v>1901.38732</v>
      </c>
      <c r="T64" s="180"/>
      <c r="Y64" s="218">
        <v>759.30652120000002</v>
      </c>
      <c r="Z64" s="180"/>
      <c r="AA64" s="218">
        <v>77105.833979999996</v>
      </c>
      <c r="AB64" s="180"/>
      <c r="AC64" s="252">
        <v>38.846573589999998</v>
      </c>
      <c r="AD64" s="180"/>
      <c r="AG64" s="218">
        <v>5.038084875</v>
      </c>
      <c r="AH64" s="180"/>
      <c r="AM64" s="252">
        <v>89</v>
      </c>
      <c r="BS64" s="218">
        <v>48.946075399999998</v>
      </c>
      <c r="BT64" s="180"/>
      <c r="BU64" s="218">
        <v>19.546293299999999</v>
      </c>
      <c r="BV64" s="180"/>
    </row>
    <row r="65" spans="1:74">
      <c r="A65" s="123" t="s">
        <v>7729</v>
      </c>
      <c r="B65" s="224" t="s">
        <v>259</v>
      </c>
      <c r="C65" s="224" t="s">
        <v>7989</v>
      </c>
      <c r="D65" s="224"/>
      <c r="E65" s="222">
        <v>16</v>
      </c>
      <c r="F65" s="225">
        <v>14</v>
      </c>
      <c r="G65" s="223"/>
      <c r="I65" s="253">
        <v>35</v>
      </c>
      <c r="S65" s="218">
        <v>1960.5469720000001</v>
      </c>
      <c r="T65" s="180"/>
      <c r="Y65" s="218">
        <v>758.49832809999998</v>
      </c>
      <c r="Z65" s="180"/>
      <c r="AA65" s="218">
        <v>76844.668730000005</v>
      </c>
      <c r="AB65" s="180"/>
      <c r="AC65" s="252">
        <v>39.442396340000002</v>
      </c>
      <c r="AD65" s="180"/>
      <c r="AG65" s="218">
        <v>5.1327433630000003</v>
      </c>
      <c r="AH65" s="180"/>
      <c r="AM65" s="252">
        <v>87</v>
      </c>
      <c r="BS65" s="218">
        <v>49.706588699999998</v>
      </c>
      <c r="BT65" s="180"/>
      <c r="BU65" s="218">
        <v>19.230533600000001</v>
      </c>
      <c r="BV65" s="180"/>
    </row>
    <row r="66" spans="1:74">
      <c r="A66" s="123" t="s">
        <v>7730</v>
      </c>
      <c r="B66" s="224" t="s">
        <v>257</v>
      </c>
      <c r="C66" s="224" t="s">
        <v>405</v>
      </c>
      <c r="D66" s="224"/>
      <c r="E66" s="223">
        <v>1</v>
      </c>
      <c r="F66" s="225">
        <v>28</v>
      </c>
      <c r="G66" s="223"/>
      <c r="I66" s="253">
        <v>41</v>
      </c>
      <c r="S66" s="218">
        <v>1074.4653450000001</v>
      </c>
      <c r="T66" s="180"/>
      <c r="Y66" s="218">
        <v>416.50411109999999</v>
      </c>
      <c r="Z66" s="180"/>
      <c r="AA66" s="218">
        <v>43653.705070000004</v>
      </c>
      <c r="AB66" s="180"/>
      <c r="AC66" s="252">
        <v>21.80355814</v>
      </c>
      <c r="AD66" s="180"/>
      <c r="AG66" s="218">
        <v>4.9946638209999996</v>
      </c>
      <c r="AH66" s="180"/>
      <c r="AM66" s="252">
        <v>94</v>
      </c>
      <c r="BS66" s="218">
        <v>49.279357900000001</v>
      </c>
      <c r="BT66" s="180"/>
      <c r="BU66" s="218">
        <v>19.102575300000002</v>
      </c>
      <c r="BV66" s="180"/>
    </row>
    <row r="67" spans="1:74">
      <c r="A67" s="123" t="s">
        <v>7730</v>
      </c>
      <c r="B67" s="224" t="s">
        <v>257</v>
      </c>
      <c r="C67" s="224" t="s">
        <v>7987</v>
      </c>
      <c r="D67" s="224"/>
      <c r="E67" s="223">
        <v>7</v>
      </c>
      <c r="F67" s="225">
        <v>35</v>
      </c>
      <c r="G67" s="223"/>
      <c r="I67" s="253">
        <v>33</v>
      </c>
      <c r="S67" s="218">
        <v>1052.0293919999999</v>
      </c>
      <c r="T67" s="180"/>
      <c r="Y67" s="218">
        <v>416.6927187</v>
      </c>
      <c r="Z67" s="180"/>
      <c r="AA67" s="218">
        <v>42895.11535</v>
      </c>
      <c r="AB67" s="180"/>
      <c r="AC67" s="252">
        <v>21.424270419999999</v>
      </c>
      <c r="AD67" s="180"/>
      <c r="AG67" s="218">
        <v>4.9945711179999996</v>
      </c>
      <c r="AH67" s="180"/>
      <c r="AM67" s="252">
        <v>94</v>
      </c>
      <c r="BS67" s="218">
        <v>49.104560900000003</v>
      </c>
      <c r="BT67" s="180"/>
      <c r="BU67" s="218">
        <v>19.449563999999999</v>
      </c>
      <c r="BV67" s="180"/>
    </row>
    <row r="68" spans="1:74">
      <c r="A68" s="123" t="s">
        <v>7730</v>
      </c>
      <c r="B68" s="224" t="s">
        <v>257</v>
      </c>
      <c r="C68" s="224" t="s">
        <v>7988</v>
      </c>
      <c r="D68" s="224"/>
      <c r="E68" s="222">
        <v>11</v>
      </c>
      <c r="F68" s="225">
        <v>4</v>
      </c>
      <c r="G68" s="223"/>
      <c r="I68" s="253">
        <v>28</v>
      </c>
      <c r="S68" s="218">
        <v>1122.191147</v>
      </c>
      <c r="T68" s="180"/>
      <c r="Y68" s="218">
        <v>460.78809209999997</v>
      </c>
      <c r="Z68" s="180"/>
      <c r="AA68" s="218">
        <v>46505.09618</v>
      </c>
      <c r="AB68" s="180"/>
      <c r="AC68" s="252">
        <v>23.104442689999999</v>
      </c>
      <c r="AD68" s="180"/>
      <c r="AG68" s="218">
        <v>4.9681528659999996</v>
      </c>
      <c r="AH68" s="180"/>
      <c r="AM68" s="252">
        <v>92</v>
      </c>
      <c r="BS68" s="218">
        <v>48.570362099999997</v>
      </c>
      <c r="BT68" s="180"/>
      <c r="BU68" s="218">
        <v>19.943700799999998</v>
      </c>
      <c r="BV68" s="180"/>
    </row>
    <row r="69" spans="1:74">
      <c r="A69" s="123" t="s">
        <v>7730</v>
      </c>
      <c r="B69" s="224" t="s">
        <v>257</v>
      </c>
      <c r="C69" s="224" t="s">
        <v>7989</v>
      </c>
      <c r="D69" s="224"/>
      <c r="E69" s="222">
        <v>15</v>
      </c>
      <c r="F69" s="225">
        <v>54</v>
      </c>
      <c r="G69" s="223"/>
      <c r="I69" s="253">
        <v>34</v>
      </c>
      <c r="S69" s="218">
        <v>1430.296902</v>
      </c>
      <c r="T69" s="180"/>
      <c r="Y69" s="218">
        <v>545.90459850000002</v>
      </c>
      <c r="Z69" s="180"/>
      <c r="AA69" s="218">
        <v>57306.997199999998</v>
      </c>
      <c r="AB69" s="180"/>
      <c r="AC69" s="252">
        <v>28.653498599999999</v>
      </c>
      <c r="AD69" s="180"/>
      <c r="AG69" s="218">
        <v>5</v>
      </c>
      <c r="AH69" s="180"/>
      <c r="AM69" s="252">
        <v>92</v>
      </c>
      <c r="BS69" s="218">
        <v>49.917007400000003</v>
      </c>
      <c r="BT69" s="180"/>
      <c r="BU69" s="218">
        <v>19.051935199999999</v>
      </c>
      <c r="BV69" s="180"/>
    </row>
    <row r="70" spans="1:74">
      <c r="A70" s="123" t="s">
        <v>7730</v>
      </c>
      <c r="B70" s="224" t="s">
        <v>259</v>
      </c>
      <c r="C70" s="224" t="s">
        <v>405</v>
      </c>
      <c r="D70" s="224"/>
      <c r="E70" s="222">
        <v>1</v>
      </c>
      <c r="F70" s="225">
        <v>53</v>
      </c>
      <c r="G70" s="223"/>
      <c r="I70" s="253">
        <v>34</v>
      </c>
      <c r="S70" s="218">
        <v>1154.3043419999999</v>
      </c>
      <c r="T70" s="180"/>
      <c r="Y70" s="218">
        <v>483.38385440000002</v>
      </c>
      <c r="Z70" s="180"/>
      <c r="AA70" s="218">
        <v>47820.858189999999</v>
      </c>
      <c r="AB70" s="180"/>
      <c r="AC70" s="252">
        <v>23.60256949</v>
      </c>
      <c r="AD70" s="180"/>
      <c r="AG70" s="218">
        <v>4.9356223180000001</v>
      </c>
      <c r="AH70" s="180"/>
      <c r="AM70" s="252">
        <v>92</v>
      </c>
      <c r="BS70" s="218">
        <v>48.905876200000002</v>
      </c>
      <c r="BT70" s="180"/>
      <c r="BU70" s="218">
        <v>20.480136900000002</v>
      </c>
      <c r="BV70" s="180"/>
    </row>
    <row r="71" spans="1:74">
      <c r="A71" s="123" t="s">
        <v>7730</v>
      </c>
      <c r="B71" s="224" t="s">
        <v>259</v>
      </c>
      <c r="C71" s="224" t="s">
        <v>7987</v>
      </c>
      <c r="D71" s="224"/>
      <c r="E71" s="222">
        <v>5</v>
      </c>
      <c r="F71" s="225">
        <v>14</v>
      </c>
      <c r="G71" s="223"/>
      <c r="I71" s="253">
        <v>32</v>
      </c>
      <c r="S71" s="218">
        <v>1511.6237639999999</v>
      </c>
      <c r="T71" s="180"/>
      <c r="Y71" s="218">
        <v>599.90412590000005</v>
      </c>
      <c r="Z71" s="180"/>
      <c r="AA71" s="218">
        <v>60402.848109999999</v>
      </c>
      <c r="AB71" s="180"/>
      <c r="AC71" s="252">
        <v>30.396691879999999</v>
      </c>
      <c r="AD71" s="180"/>
      <c r="AG71" s="218">
        <v>5.0323275860000001</v>
      </c>
      <c r="AH71" s="180"/>
      <c r="AM71" s="252">
        <v>94</v>
      </c>
      <c r="BS71" s="218">
        <v>49.729877500000001</v>
      </c>
      <c r="BT71" s="180"/>
      <c r="BU71" s="218">
        <v>19.735835999999999</v>
      </c>
      <c r="BV71" s="180"/>
    </row>
    <row r="72" spans="1:74">
      <c r="A72" s="123" t="s">
        <v>7730</v>
      </c>
      <c r="B72" s="224" t="s">
        <v>259</v>
      </c>
      <c r="C72" s="224" t="s">
        <v>7988</v>
      </c>
      <c r="D72" s="224"/>
      <c r="E72" s="223">
        <v>11</v>
      </c>
      <c r="F72" s="225">
        <v>39</v>
      </c>
      <c r="G72" s="223"/>
      <c r="I72" s="253">
        <v>38</v>
      </c>
      <c r="S72" s="218">
        <v>1516.7221850000001</v>
      </c>
      <c r="T72" s="180"/>
      <c r="Y72" s="218">
        <v>588.57358280000005</v>
      </c>
      <c r="Z72" s="180"/>
      <c r="AA72" s="218">
        <v>59623.466189999999</v>
      </c>
      <c r="AB72" s="180"/>
      <c r="AC72" s="252">
        <v>30.635261629999999</v>
      </c>
      <c r="AD72" s="180"/>
      <c r="AG72" s="218">
        <v>5.1381215469999999</v>
      </c>
      <c r="AH72" s="180"/>
      <c r="AM72" s="252">
        <v>94</v>
      </c>
      <c r="BS72" s="218">
        <v>49.509033199999998</v>
      </c>
      <c r="BT72" s="180"/>
      <c r="BU72" s="218">
        <v>19.212291700000002</v>
      </c>
      <c r="BV72" s="180"/>
    </row>
    <row r="73" spans="1:74">
      <c r="A73" s="123" t="s">
        <v>7730</v>
      </c>
      <c r="B73" s="224" t="s">
        <v>259</v>
      </c>
      <c r="C73" s="224" t="s">
        <v>7989</v>
      </c>
      <c r="D73" s="224"/>
      <c r="E73" s="223">
        <v>15</v>
      </c>
      <c r="F73" s="225">
        <v>8</v>
      </c>
      <c r="G73" s="223"/>
      <c r="I73" s="253">
        <v>35</v>
      </c>
      <c r="S73" s="218">
        <v>1382.8631869999999</v>
      </c>
      <c r="T73" s="180"/>
      <c r="Y73" s="218">
        <v>578.91975869999999</v>
      </c>
      <c r="Z73" s="180"/>
      <c r="AA73" s="218">
        <v>57674.139000000003</v>
      </c>
      <c r="AB73" s="180"/>
      <c r="AC73" s="252">
        <v>28.530292159999998</v>
      </c>
      <c r="AD73" s="180"/>
      <c r="AG73" s="218">
        <v>4.9468085110000004</v>
      </c>
      <c r="AH73" s="180"/>
      <c r="AM73" s="252">
        <v>92</v>
      </c>
      <c r="BS73" s="218">
        <v>48.469997399999997</v>
      </c>
      <c r="BT73" s="180"/>
      <c r="BU73" s="218">
        <v>20.291406599999998</v>
      </c>
      <c r="BV73" s="180"/>
    </row>
    <row r="74" spans="1:74">
      <c r="A74" s="123" t="s">
        <v>7731</v>
      </c>
      <c r="B74" s="224" t="s">
        <v>257</v>
      </c>
      <c r="C74" s="224" t="s">
        <v>405</v>
      </c>
      <c r="D74" s="224"/>
      <c r="E74" s="222">
        <v>1</v>
      </c>
      <c r="F74" s="225">
        <v>26</v>
      </c>
      <c r="G74" s="223"/>
      <c r="I74" s="253">
        <v>27</v>
      </c>
      <c r="S74" s="218">
        <v>1606.8446779999999</v>
      </c>
      <c r="T74" s="180"/>
      <c r="Y74" s="218">
        <v>549.99166230000003</v>
      </c>
      <c r="Z74" s="180"/>
      <c r="AA74" s="218">
        <v>67667.176130000007</v>
      </c>
      <c r="AB74" s="180"/>
      <c r="AC74" s="252">
        <v>32.103854519999999</v>
      </c>
      <c r="AD74" s="180"/>
      <c r="AG74" s="218">
        <v>4.7443762779999998</v>
      </c>
      <c r="AH74" s="180"/>
      <c r="AM74" s="252">
        <v>92</v>
      </c>
      <c r="BS74" s="218">
        <v>50.0514565</v>
      </c>
      <c r="BT74" s="180"/>
      <c r="BU74" s="218">
        <v>17.131639499999999</v>
      </c>
      <c r="BV74" s="180"/>
    </row>
    <row r="75" spans="1:74">
      <c r="A75" s="123" t="s">
        <v>7731</v>
      </c>
      <c r="B75" s="224" t="s">
        <v>257</v>
      </c>
      <c r="C75" s="224" t="s">
        <v>7987</v>
      </c>
      <c r="D75" s="224"/>
      <c r="E75" s="222">
        <v>7</v>
      </c>
      <c r="F75" s="225">
        <v>39</v>
      </c>
      <c r="G75" s="223"/>
      <c r="I75" s="253">
        <v>30</v>
      </c>
      <c r="S75" s="218">
        <v>1566.6872370000001</v>
      </c>
      <c r="T75" s="180"/>
      <c r="Y75" s="218">
        <v>575.96853529999998</v>
      </c>
      <c r="Z75" s="180"/>
      <c r="AA75" s="218">
        <v>66700.555970000001</v>
      </c>
      <c r="AB75" s="180"/>
      <c r="AC75" s="252">
        <v>31.12692612</v>
      </c>
      <c r="AD75" s="180"/>
      <c r="AG75" s="218">
        <v>4.6666666670000003</v>
      </c>
      <c r="AH75" s="180"/>
      <c r="AM75" s="252">
        <v>94</v>
      </c>
      <c r="BS75" s="218">
        <v>50.3322182</v>
      </c>
      <c r="BT75" s="180"/>
      <c r="BU75" s="218">
        <v>18.503868099999998</v>
      </c>
      <c r="BV75" s="180"/>
    </row>
    <row r="76" spans="1:74">
      <c r="A76" s="123" t="s">
        <v>7731</v>
      </c>
      <c r="B76" s="224" t="s">
        <v>257</v>
      </c>
      <c r="C76" s="224" t="s">
        <v>7988</v>
      </c>
      <c r="D76" s="224"/>
      <c r="E76" s="222">
        <v>9</v>
      </c>
      <c r="F76" s="225">
        <v>6</v>
      </c>
      <c r="G76" s="223"/>
      <c r="I76" s="253">
        <v>23</v>
      </c>
      <c r="S76" s="218">
        <v>1148.90696</v>
      </c>
      <c r="T76" s="180"/>
      <c r="Y76" s="218">
        <v>429.52732550000002</v>
      </c>
      <c r="Z76" s="180"/>
      <c r="AA76" s="218">
        <v>47293.938349999997</v>
      </c>
      <c r="AB76" s="180"/>
      <c r="AC76" s="252">
        <v>22.911067639999999</v>
      </c>
      <c r="AD76" s="180"/>
      <c r="AG76" s="218">
        <v>4.8443983399999997</v>
      </c>
      <c r="AH76" s="180"/>
      <c r="AM76" s="252">
        <v>92</v>
      </c>
      <c r="BS76" s="218">
        <v>50.146373699999998</v>
      </c>
      <c r="BT76" s="180"/>
      <c r="BU76" s="218">
        <v>18.747591</v>
      </c>
      <c r="BV76" s="180"/>
    </row>
    <row r="77" spans="1:74">
      <c r="A77" s="123" t="s">
        <v>7731</v>
      </c>
      <c r="B77" s="224" t="s">
        <v>257</v>
      </c>
      <c r="C77" s="224" t="s">
        <v>7989</v>
      </c>
      <c r="D77" s="224"/>
      <c r="E77" s="222">
        <v>14</v>
      </c>
      <c r="F77" s="225">
        <v>45</v>
      </c>
      <c r="G77" s="223"/>
      <c r="I77" s="253">
        <v>32</v>
      </c>
      <c r="S77" s="218">
        <v>1569.8843469999999</v>
      </c>
      <c r="T77" s="180"/>
      <c r="Y77" s="218">
        <v>562.92828850000001</v>
      </c>
      <c r="Z77" s="180"/>
      <c r="AA77" s="218">
        <v>68978.91102</v>
      </c>
      <c r="AB77" s="180"/>
      <c r="AC77" s="252">
        <v>31.4889066</v>
      </c>
      <c r="AD77" s="180"/>
      <c r="AG77" s="218">
        <v>4.5650048879999998</v>
      </c>
      <c r="AH77" s="180"/>
      <c r="AM77" s="252">
        <v>92</v>
      </c>
      <c r="BS77" s="218">
        <v>49.8551559</v>
      </c>
      <c r="BT77" s="180"/>
      <c r="BU77" s="218">
        <v>17.877035100000001</v>
      </c>
      <c r="BV77" s="180"/>
    </row>
    <row r="78" spans="1:74">
      <c r="A78" s="123" t="s">
        <v>7731</v>
      </c>
      <c r="B78" s="224" t="s">
        <v>259</v>
      </c>
      <c r="C78" s="224" t="s">
        <v>405</v>
      </c>
      <c r="D78" s="224"/>
      <c r="E78" s="223">
        <v>2</v>
      </c>
      <c r="F78" s="225">
        <v>35</v>
      </c>
      <c r="G78" s="223"/>
      <c r="I78" s="253">
        <v>33</v>
      </c>
      <c r="S78" s="218">
        <v>1439.7801400000001</v>
      </c>
      <c r="T78" s="180"/>
      <c r="Y78" s="218">
        <v>506.95631630000003</v>
      </c>
      <c r="Z78" s="180"/>
      <c r="AA78" s="218">
        <v>60446.652990000002</v>
      </c>
      <c r="AB78" s="180"/>
      <c r="AC78" s="252">
        <v>28.7215463</v>
      </c>
      <c r="AD78" s="180"/>
      <c r="AG78" s="218">
        <v>4.7515527950000003</v>
      </c>
      <c r="AH78" s="180"/>
      <c r="AM78" s="252">
        <v>92</v>
      </c>
      <c r="BS78" s="218">
        <v>50.128921499999997</v>
      </c>
      <c r="BT78" s="180"/>
      <c r="BU78" s="218">
        <v>17.650732000000001</v>
      </c>
      <c r="BV78" s="180"/>
    </row>
    <row r="79" spans="1:74">
      <c r="A79" s="123" t="s">
        <v>7731</v>
      </c>
      <c r="B79" s="224" t="s">
        <v>259</v>
      </c>
      <c r="C79" s="224" t="s">
        <v>7987</v>
      </c>
      <c r="D79" s="224"/>
      <c r="E79" s="223">
        <v>6</v>
      </c>
      <c r="F79" s="225">
        <v>23</v>
      </c>
      <c r="G79" s="223"/>
      <c r="I79" s="253">
        <v>29</v>
      </c>
      <c r="S79" s="218">
        <v>1559.0054299999999</v>
      </c>
      <c r="T79" s="180"/>
      <c r="Y79" s="218">
        <v>594.17787929999997</v>
      </c>
      <c r="Z79" s="180"/>
      <c r="AA79" s="218">
        <v>63626.551780000002</v>
      </c>
      <c r="AB79" s="180"/>
      <c r="AC79" s="252">
        <v>31.43900206</v>
      </c>
      <c r="AD79" s="180"/>
      <c r="AG79" s="218">
        <v>4.9411764710000003</v>
      </c>
      <c r="AH79" s="180"/>
      <c r="AM79" s="252">
        <v>92</v>
      </c>
      <c r="BS79" s="218">
        <v>49.588260699999999</v>
      </c>
      <c r="BT79" s="180"/>
      <c r="BU79" s="218">
        <v>18.899387399999998</v>
      </c>
      <c r="BV79" s="180"/>
    </row>
    <row r="80" spans="1:74">
      <c r="A80" s="123" t="s">
        <v>7731</v>
      </c>
      <c r="B80" s="224" t="s">
        <v>259</v>
      </c>
      <c r="C80" s="224" t="s">
        <v>7988</v>
      </c>
      <c r="D80" s="224"/>
      <c r="E80" s="222">
        <v>11</v>
      </c>
      <c r="F80" s="225">
        <v>63</v>
      </c>
      <c r="G80" s="223"/>
      <c r="I80" s="253">
        <v>39</v>
      </c>
      <c r="S80" s="218">
        <v>1870.2637400000001</v>
      </c>
      <c r="T80" s="180"/>
      <c r="Y80" s="218">
        <v>713.20456330000002</v>
      </c>
      <c r="Z80" s="180"/>
      <c r="AA80" s="218">
        <v>78574.349780000004</v>
      </c>
      <c r="AB80" s="180"/>
      <c r="AC80" s="252">
        <v>37.856320439999998</v>
      </c>
      <c r="AD80" s="180"/>
      <c r="AG80" s="218">
        <v>4.8178980229999997</v>
      </c>
      <c r="AH80" s="180"/>
      <c r="AM80" s="252">
        <v>94</v>
      </c>
      <c r="BS80" s="218">
        <v>49.404266399999997</v>
      </c>
      <c r="BT80" s="180"/>
      <c r="BU80" s="218">
        <v>18.839775100000001</v>
      </c>
      <c r="BV80" s="180"/>
    </row>
    <row r="81" spans="1:74">
      <c r="A81" s="123" t="s">
        <v>7731</v>
      </c>
      <c r="B81" s="224" t="s">
        <v>259</v>
      </c>
      <c r="C81" s="224" t="s">
        <v>7989</v>
      </c>
      <c r="D81" s="224"/>
      <c r="E81" s="222">
        <v>13</v>
      </c>
      <c r="F81" s="225">
        <v>1</v>
      </c>
      <c r="G81" s="223"/>
      <c r="I81" s="253">
        <v>34</v>
      </c>
      <c r="S81" s="218">
        <v>1949.842245</v>
      </c>
      <c r="T81" s="180"/>
      <c r="Y81" s="218">
        <v>734.57674640000005</v>
      </c>
      <c r="Z81" s="180"/>
      <c r="AA81" s="218">
        <v>82225.919999999998</v>
      </c>
      <c r="AB81" s="180"/>
      <c r="AC81" s="252">
        <v>39.580800000000004</v>
      </c>
      <c r="AD81" s="180"/>
      <c r="AG81" s="218">
        <v>4.8136645959999997</v>
      </c>
      <c r="AH81" s="180"/>
      <c r="AM81" s="252">
        <v>92</v>
      </c>
      <c r="BS81" s="218">
        <v>49.262325300000001</v>
      </c>
      <c r="BT81" s="180"/>
      <c r="BU81" s="218">
        <v>18.558916100000001</v>
      </c>
      <c r="BV81" s="180"/>
    </row>
    <row r="82" spans="1:74">
      <c r="A82" s="123" t="s">
        <v>7732</v>
      </c>
      <c r="B82" s="224" t="s">
        <v>257</v>
      </c>
      <c r="C82" s="224" t="s">
        <v>405</v>
      </c>
      <c r="D82" s="224"/>
      <c r="E82" s="222">
        <v>2</v>
      </c>
      <c r="F82" s="225">
        <v>4</v>
      </c>
      <c r="G82" s="223"/>
      <c r="I82" s="253">
        <v>36</v>
      </c>
      <c r="S82" s="218">
        <v>1414.1263329999999</v>
      </c>
      <c r="T82" s="180"/>
      <c r="Y82" s="218">
        <v>561.12360990000002</v>
      </c>
      <c r="Z82" s="180"/>
      <c r="AA82" s="218">
        <v>53008.314330000001</v>
      </c>
      <c r="AB82" s="180"/>
      <c r="AC82" s="252">
        <v>28.328830759999999</v>
      </c>
      <c r="AD82" s="180"/>
      <c r="AG82" s="218">
        <v>5.344224037</v>
      </c>
      <c r="AH82" s="180"/>
      <c r="AM82" s="218">
        <v>101</v>
      </c>
      <c r="BS82" s="218">
        <v>49.918273900000003</v>
      </c>
      <c r="BT82" s="180"/>
      <c r="BU82" s="218">
        <v>19.807510400000002</v>
      </c>
      <c r="BV82" s="180"/>
    </row>
    <row r="83" spans="1:74">
      <c r="A83" s="123" t="s">
        <v>7732</v>
      </c>
      <c r="B83" s="224" t="s">
        <v>257</v>
      </c>
      <c r="C83" s="224" t="s">
        <v>7987</v>
      </c>
      <c r="D83" s="224"/>
      <c r="E83" s="222">
        <v>6</v>
      </c>
      <c r="F83" s="225">
        <v>51</v>
      </c>
      <c r="G83" s="223"/>
      <c r="I83" s="253">
        <v>36</v>
      </c>
      <c r="S83" s="218">
        <v>1575.835165</v>
      </c>
      <c r="T83" s="180"/>
      <c r="Y83" s="218">
        <v>623.50537259999999</v>
      </c>
      <c r="Z83" s="180"/>
      <c r="AA83" s="218">
        <v>60387.690170000002</v>
      </c>
      <c r="AB83" s="180"/>
      <c r="AC83" s="252">
        <v>31.679895630000001</v>
      </c>
      <c r="AD83" s="180"/>
      <c r="AG83" s="218">
        <v>5.2460850109999999</v>
      </c>
      <c r="AH83" s="180"/>
      <c r="AM83" s="218">
        <v>101</v>
      </c>
      <c r="BS83" s="218">
        <v>49.742435499999999</v>
      </c>
      <c r="BT83" s="180"/>
      <c r="BU83" s="218">
        <v>19.6814213</v>
      </c>
      <c r="BV83" s="180"/>
    </row>
    <row r="84" spans="1:74">
      <c r="A84" s="123" t="s">
        <v>7732</v>
      </c>
      <c r="B84" s="224" t="s">
        <v>257</v>
      </c>
      <c r="C84" s="224" t="s">
        <v>7988</v>
      </c>
      <c r="D84" s="224"/>
      <c r="E84" s="222">
        <v>10</v>
      </c>
      <c r="F84" s="225">
        <v>15</v>
      </c>
      <c r="G84" s="223"/>
      <c r="I84" s="253">
        <v>36</v>
      </c>
      <c r="S84" s="218">
        <v>1120.7186200000001</v>
      </c>
      <c r="T84" s="180"/>
      <c r="Y84" s="218">
        <v>424.74417089999997</v>
      </c>
      <c r="Z84" s="180"/>
      <c r="AA84" s="218">
        <v>39289.079460000001</v>
      </c>
      <c r="AB84" s="180"/>
      <c r="AC84" s="252">
        <v>22.115098450000001</v>
      </c>
      <c r="AD84" s="180"/>
      <c r="AG84" s="218">
        <v>5.628815629</v>
      </c>
      <c r="AH84" s="180"/>
      <c r="AM84" s="218">
        <v>99</v>
      </c>
      <c r="BS84" s="218">
        <v>50.676628100000002</v>
      </c>
      <c r="BT84" s="180"/>
      <c r="BU84" s="218">
        <v>19.206071900000001</v>
      </c>
      <c r="BV84" s="180"/>
    </row>
    <row r="85" spans="1:74">
      <c r="A85" s="123" t="s">
        <v>7732</v>
      </c>
      <c r="B85" s="224" t="s">
        <v>257</v>
      </c>
      <c r="C85" s="224" t="s">
        <v>7989</v>
      </c>
      <c r="D85" s="224"/>
      <c r="E85" s="223">
        <v>13</v>
      </c>
      <c r="F85" s="225">
        <v>47</v>
      </c>
      <c r="G85" s="223"/>
      <c r="I85" s="253">
        <v>39</v>
      </c>
      <c r="S85" s="218">
        <v>1434.918752</v>
      </c>
      <c r="T85" s="180"/>
      <c r="Y85" s="218">
        <v>593.24127999999996</v>
      </c>
      <c r="Z85" s="180"/>
      <c r="AA85" s="218">
        <v>56829.893550000001</v>
      </c>
      <c r="AB85" s="180"/>
      <c r="AC85" s="252">
        <v>29.46031271</v>
      </c>
      <c r="AD85" s="180"/>
      <c r="AG85" s="218">
        <v>5.1839464880000001</v>
      </c>
      <c r="AH85" s="180"/>
      <c r="AM85" s="218">
        <v>105</v>
      </c>
      <c r="BS85" s="218">
        <v>48.706840499999998</v>
      </c>
      <c r="BT85" s="180"/>
      <c r="BU85" s="218">
        <v>20.136964800000001</v>
      </c>
      <c r="BV85" s="180"/>
    </row>
    <row r="86" spans="1:74">
      <c r="A86" s="123" t="s">
        <v>7732</v>
      </c>
      <c r="B86" s="224" t="s">
        <v>259</v>
      </c>
      <c r="C86" s="224" t="s">
        <v>405</v>
      </c>
      <c r="D86" s="224"/>
      <c r="E86" s="222">
        <v>2</v>
      </c>
      <c r="F86" s="225">
        <v>49</v>
      </c>
      <c r="G86" s="223"/>
      <c r="I86" s="253">
        <v>41</v>
      </c>
      <c r="S86" s="218">
        <v>1509.8583100000001</v>
      </c>
      <c r="T86" s="180"/>
      <c r="Y86" s="218">
        <v>572.02381509999998</v>
      </c>
      <c r="Z86" s="180"/>
      <c r="AA86" s="218">
        <v>56587.764439999999</v>
      </c>
      <c r="AB86" s="180"/>
      <c r="AC86" s="252">
        <v>30.180141039999999</v>
      </c>
      <c r="AD86" s="180"/>
      <c r="AG86" s="218">
        <v>5.3333333329999997</v>
      </c>
      <c r="AH86" s="180"/>
      <c r="AM86" s="218">
        <v>101</v>
      </c>
      <c r="BS86" s="218">
        <v>50.028205900000003</v>
      </c>
      <c r="BT86" s="180"/>
      <c r="BU86" s="218">
        <v>18.953649500000001</v>
      </c>
      <c r="BV86" s="180"/>
    </row>
    <row r="87" spans="1:74">
      <c r="A87" s="123" t="s">
        <v>7732</v>
      </c>
      <c r="B87" s="224" t="s">
        <v>259</v>
      </c>
      <c r="C87" s="224" t="s">
        <v>7987</v>
      </c>
      <c r="D87" s="224"/>
      <c r="E87" s="222">
        <v>5</v>
      </c>
      <c r="F87" s="225">
        <v>7</v>
      </c>
      <c r="G87" s="223"/>
      <c r="I87" s="253">
        <v>37</v>
      </c>
      <c r="S87" s="218">
        <v>1378.334396</v>
      </c>
      <c r="T87" s="180"/>
      <c r="Y87" s="218">
        <v>574.12699659999998</v>
      </c>
      <c r="Z87" s="180"/>
      <c r="AA87" s="218">
        <v>51125.949950000002</v>
      </c>
      <c r="AB87" s="180"/>
      <c r="AC87" s="252">
        <v>27.800108139999999</v>
      </c>
      <c r="AD87" s="180"/>
      <c r="AG87" s="218">
        <v>5.4375729289999999</v>
      </c>
      <c r="AH87" s="180"/>
      <c r="AM87" s="218">
        <v>101</v>
      </c>
      <c r="BS87" s="218">
        <v>49.580181099999997</v>
      </c>
      <c r="BT87" s="180"/>
      <c r="BU87" s="218">
        <v>20.651969900000001</v>
      </c>
      <c r="BV87" s="180"/>
    </row>
    <row r="88" spans="1:74">
      <c r="A88" s="123" t="s">
        <v>7732</v>
      </c>
      <c r="B88" s="224" t="s">
        <v>259</v>
      </c>
      <c r="C88" s="224" t="s">
        <v>7988</v>
      </c>
      <c r="D88" s="224"/>
      <c r="E88" s="222">
        <v>12</v>
      </c>
      <c r="F88" s="225">
        <v>41</v>
      </c>
      <c r="G88" s="223"/>
      <c r="I88" s="253">
        <v>34</v>
      </c>
      <c r="S88" s="218">
        <v>1475.6823119999999</v>
      </c>
      <c r="T88" s="180"/>
      <c r="Y88" s="218">
        <v>610.86864809999997</v>
      </c>
      <c r="Z88" s="180"/>
      <c r="AA88" s="218">
        <v>56045.690929999997</v>
      </c>
      <c r="AB88" s="180"/>
      <c r="AC88" s="252">
        <v>30.294968069999999</v>
      </c>
      <c r="AD88" s="180"/>
      <c r="AG88" s="218">
        <v>5.4054054049999998</v>
      </c>
      <c r="AH88" s="180"/>
      <c r="AM88" s="218">
        <v>105</v>
      </c>
      <c r="BS88" s="218">
        <v>48.710475899999999</v>
      </c>
      <c r="BT88" s="180"/>
      <c r="BU88" s="218">
        <v>20.164030100000002</v>
      </c>
      <c r="BV88" s="180"/>
    </row>
    <row r="89" spans="1:74">
      <c r="A89" s="123" t="s">
        <v>7732</v>
      </c>
      <c r="B89" s="224" t="s">
        <v>259</v>
      </c>
      <c r="C89" s="224" t="s">
        <v>7989</v>
      </c>
      <c r="D89" s="224"/>
      <c r="E89" s="222">
        <v>15</v>
      </c>
      <c r="F89" s="225">
        <v>27</v>
      </c>
      <c r="G89" s="223"/>
      <c r="I89" s="253">
        <v>36</v>
      </c>
      <c r="S89" s="218">
        <v>1513.811181</v>
      </c>
      <c r="T89" s="180"/>
      <c r="Y89" s="218">
        <v>625.39714660000004</v>
      </c>
      <c r="Z89" s="180"/>
      <c r="AA89" s="218">
        <v>57571.96718</v>
      </c>
      <c r="AB89" s="180"/>
      <c r="AC89" s="252">
        <v>30.591261920000001</v>
      </c>
      <c r="AD89" s="180"/>
      <c r="AG89" s="218">
        <v>5.3135689849999999</v>
      </c>
      <c r="AH89" s="180"/>
      <c r="AM89" s="218">
        <v>101</v>
      </c>
      <c r="BS89" s="218">
        <v>49.485084499999999</v>
      </c>
      <c r="BT89" s="180"/>
      <c r="BU89" s="218">
        <v>20.443653099999999</v>
      </c>
      <c r="BV89" s="180"/>
    </row>
    <row r="90" spans="1:74">
      <c r="A90" s="123" t="s">
        <v>7856</v>
      </c>
      <c r="B90" s="224" t="s">
        <v>257</v>
      </c>
      <c r="C90" s="224" t="s">
        <v>405</v>
      </c>
      <c r="D90" s="224"/>
      <c r="E90" s="223">
        <v>3</v>
      </c>
      <c r="F90" s="225">
        <v>18</v>
      </c>
      <c r="G90" s="223"/>
      <c r="I90" s="253">
        <v>40</v>
      </c>
      <c r="S90" s="218">
        <v>1391.1652999999999</v>
      </c>
      <c r="T90" s="180"/>
      <c r="Y90" s="218">
        <v>510.1561102</v>
      </c>
      <c r="Z90" s="180"/>
      <c r="AA90" s="218">
        <v>54479.093939999999</v>
      </c>
      <c r="AB90" s="180"/>
      <c r="AC90" s="252">
        <v>27.538882650000001</v>
      </c>
      <c r="AD90" s="180"/>
      <c r="AG90" s="218">
        <v>5.0549450550000001</v>
      </c>
      <c r="AH90" s="180"/>
      <c r="AM90" s="218">
        <v>94</v>
      </c>
      <c r="BS90" s="218">
        <v>50.516403199999999</v>
      </c>
      <c r="BT90" s="180"/>
      <c r="BU90" s="218">
        <v>18.524938599999999</v>
      </c>
      <c r="BV90" s="180"/>
    </row>
    <row r="91" spans="1:74">
      <c r="A91" s="123" t="s">
        <v>7856</v>
      </c>
      <c r="B91" s="224" t="s">
        <v>257</v>
      </c>
      <c r="C91" s="224" t="s">
        <v>7987</v>
      </c>
      <c r="D91" s="224"/>
      <c r="E91" s="223">
        <v>8</v>
      </c>
      <c r="F91" s="225">
        <v>58</v>
      </c>
      <c r="G91" s="223"/>
      <c r="I91" s="253">
        <v>43</v>
      </c>
      <c r="S91" s="218">
        <v>1598.191775</v>
      </c>
      <c r="T91" s="180"/>
      <c r="Y91" s="218">
        <v>572.84528109999997</v>
      </c>
      <c r="Z91" s="180"/>
      <c r="AA91" s="218">
        <v>60793.903810000003</v>
      </c>
      <c r="AB91" s="180"/>
      <c r="AC91" s="252">
        <v>31.299831659999999</v>
      </c>
      <c r="AD91" s="180"/>
      <c r="AG91" s="218">
        <v>5.1485148509999998</v>
      </c>
      <c r="AH91" s="180"/>
      <c r="AM91" s="218">
        <v>94</v>
      </c>
      <c r="BS91" s="218">
        <v>51.060714699999998</v>
      </c>
      <c r="BT91" s="180"/>
      <c r="BU91" s="218">
        <v>18.301864599999998</v>
      </c>
      <c r="BV91" s="180"/>
    </row>
    <row r="92" spans="1:74">
      <c r="A92" s="123" t="s">
        <v>7856</v>
      </c>
      <c r="B92" s="224" t="s">
        <v>257</v>
      </c>
      <c r="C92" s="224" t="s">
        <v>7988</v>
      </c>
      <c r="D92" s="224"/>
      <c r="E92" s="222">
        <v>9</v>
      </c>
      <c r="F92" s="225">
        <v>30</v>
      </c>
      <c r="G92" s="223"/>
      <c r="I92" s="253">
        <v>41</v>
      </c>
      <c r="S92" s="218">
        <v>1455.4933619999999</v>
      </c>
      <c r="T92" s="180"/>
      <c r="Y92" s="218">
        <v>502.6052823</v>
      </c>
      <c r="Z92" s="180"/>
      <c r="AA92" s="218">
        <v>54657.176420000003</v>
      </c>
      <c r="AB92" s="180"/>
      <c r="AC92" s="252">
        <v>28.09538362</v>
      </c>
      <c r="AD92" s="180"/>
      <c r="AG92" s="218">
        <v>5.1402918069999997</v>
      </c>
      <c r="AH92" s="180"/>
      <c r="AM92" s="218">
        <v>94</v>
      </c>
      <c r="BS92" s="218">
        <v>51.805427600000002</v>
      </c>
      <c r="BT92" s="180"/>
      <c r="BU92" s="218">
        <v>17.889247900000001</v>
      </c>
      <c r="BV92" s="180"/>
    </row>
    <row r="93" spans="1:74">
      <c r="A93" s="123" t="s">
        <v>7856</v>
      </c>
      <c r="B93" s="224" t="s">
        <v>257</v>
      </c>
      <c r="C93" s="224" t="s">
        <v>7989</v>
      </c>
      <c r="D93" s="224"/>
      <c r="E93" s="222">
        <v>14</v>
      </c>
      <c r="F93" s="225">
        <v>37</v>
      </c>
      <c r="G93" s="223"/>
      <c r="I93" s="253">
        <v>40</v>
      </c>
      <c r="S93" s="218">
        <v>1619.147091</v>
      </c>
      <c r="T93" s="180"/>
      <c r="Y93" s="218">
        <v>586.81228390000001</v>
      </c>
      <c r="Z93" s="180"/>
      <c r="AA93" s="218">
        <v>62893.468009999997</v>
      </c>
      <c r="AB93" s="180"/>
      <c r="AC93" s="252">
        <v>31.514361390000001</v>
      </c>
      <c r="AD93" s="180"/>
      <c r="AG93" s="218">
        <v>5.0107526880000002</v>
      </c>
      <c r="AH93" s="180"/>
      <c r="AM93" s="218">
        <v>94</v>
      </c>
      <c r="BS93" s="218">
        <v>51.378070800000003</v>
      </c>
      <c r="BT93" s="180"/>
      <c r="BU93" s="218">
        <v>18.620471999999999</v>
      </c>
      <c r="BV93" s="180"/>
    </row>
    <row r="94" spans="1:74">
      <c r="A94" s="123" t="s">
        <v>7856</v>
      </c>
      <c r="B94" s="224" t="s">
        <v>259</v>
      </c>
      <c r="C94" s="224" t="s">
        <v>405</v>
      </c>
      <c r="D94" s="224"/>
      <c r="E94" s="222">
        <v>3</v>
      </c>
      <c r="F94" s="225">
        <v>55</v>
      </c>
      <c r="G94" s="223"/>
      <c r="I94" s="253">
        <v>36</v>
      </c>
      <c r="S94" s="218">
        <v>1862.580766</v>
      </c>
      <c r="T94" s="180"/>
      <c r="Y94" s="218">
        <v>721.21236120000003</v>
      </c>
      <c r="Z94" s="180"/>
      <c r="AA94" s="218">
        <v>72880.959220000004</v>
      </c>
      <c r="AB94" s="180"/>
      <c r="AC94" s="252">
        <v>36.997430170000001</v>
      </c>
      <c r="AD94" s="180"/>
      <c r="AG94" s="218">
        <v>5.0764192140000004</v>
      </c>
      <c r="AH94" s="180"/>
      <c r="AM94" s="218">
        <v>92</v>
      </c>
      <c r="BS94" s="218">
        <v>50.343517300000002</v>
      </c>
      <c r="BT94" s="180"/>
      <c r="BU94" s="218">
        <v>19.4935799</v>
      </c>
      <c r="BV94" s="180"/>
    </row>
    <row r="95" spans="1:74">
      <c r="A95" s="123" t="s">
        <v>7856</v>
      </c>
      <c r="B95" s="224" t="s">
        <v>259</v>
      </c>
      <c r="C95" s="224" t="s">
        <v>7987</v>
      </c>
      <c r="D95" s="224"/>
      <c r="E95" s="222">
        <v>6</v>
      </c>
      <c r="F95" s="225">
        <v>6</v>
      </c>
      <c r="G95" s="223"/>
      <c r="I95" s="253">
        <v>40</v>
      </c>
      <c r="S95" s="218">
        <v>1631.278648</v>
      </c>
      <c r="T95" s="180"/>
      <c r="Y95" s="218">
        <v>659.18997390000004</v>
      </c>
      <c r="Z95" s="180"/>
      <c r="AA95" s="218">
        <v>64530.543530000003</v>
      </c>
      <c r="AB95" s="180"/>
      <c r="AC95" s="252">
        <v>32.510501840000003</v>
      </c>
      <c r="AD95" s="180"/>
      <c r="AG95" s="218">
        <v>5.0380021719999997</v>
      </c>
      <c r="AH95" s="180"/>
      <c r="AM95" s="218">
        <v>94</v>
      </c>
      <c r="BS95" s="218">
        <v>50.176975300000002</v>
      </c>
      <c r="BT95" s="180"/>
      <c r="BU95" s="218">
        <v>20.2762165</v>
      </c>
      <c r="BV95" s="180"/>
    </row>
    <row r="96" spans="1:74">
      <c r="A96" s="123" t="s">
        <v>7856</v>
      </c>
      <c r="B96" s="224" t="s">
        <v>259</v>
      </c>
      <c r="C96" s="224" t="s">
        <v>7988</v>
      </c>
      <c r="D96" s="224"/>
      <c r="E96" s="223">
        <v>12</v>
      </c>
      <c r="F96" s="225">
        <v>47</v>
      </c>
      <c r="G96" s="223"/>
      <c r="I96" s="253">
        <v>41</v>
      </c>
      <c r="S96" s="218">
        <v>1609.324758</v>
      </c>
      <c r="T96" s="180"/>
      <c r="Y96" s="218">
        <v>674.64066539999999</v>
      </c>
      <c r="Z96" s="180"/>
      <c r="AA96" s="218">
        <v>65444.761169999998</v>
      </c>
      <c r="AB96" s="180"/>
      <c r="AC96" s="252">
        <v>32.938132549999999</v>
      </c>
      <c r="AD96" s="180"/>
      <c r="AG96" s="218">
        <v>5.0329670330000003</v>
      </c>
      <c r="AH96" s="180"/>
      <c r="AM96" s="218">
        <v>101</v>
      </c>
      <c r="BS96" s="218">
        <v>48.859016400000002</v>
      </c>
      <c r="BT96" s="180"/>
      <c r="BU96" s="218">
        <v>20.4820557</v>
      </c>
      <c r="BV96" s="180"/>
    </row>
    <row r="97" spans="1:74">
      <c r="A97" s="123" t="s">
        <v>7856</v>
      </c>
      <c r="B97" s="224" t="s">
        <v>259</v>
      </c>
      <c r="C97" s="224" t="s">
        <v>7989</v>
      </c>
      <c r="D97" s="224"/>
      <c r="E97" s="223">
        <v>14</v>
      </c>
      <c r="F97" s="225">
        <v>12</v>
      </c>
      <c r="G97" s="223"/>
      <c r="I97" s="253">
        <v>35</v>
      </c>
      <c r="S97" s="218">
        <v>1654.7401090000001</v>
      </c>
      <c r="T97" s="180"/>
      <c r="Y97" s="218">
        <v>596.8799229</v>
      </c>
      <c r="Z97" s="180"/>
      <c r="AA97" s="218">
        <v>62674.366520000003</v>
      </c>
      <c r="AB97" s="180"/>
      <c r="AC97" s="252">
        <v>32.309956130000003</v>
      </c>
      <c r="AD97" s="180"/>
      <c r="AG97" s="218">
        <v>5.1552106430000002</v>
      </c>
      <c r="AH97" s="180"/>
      <c r="AM97" s="218">
        <v>94</v>
      </c>
      <c r="BS97" s="218">
        <v>51.214557599999999</v>
      </c>
      <c r="BT97" s="180"/>
      <c r="BU97" s="218">
        <v>18.473560299999999</v>
      </c>
      <c r="BV97" s="180"/>
    </row>
    <row r="98" spans="1:74">
      <c r="A98" s="123" t="s">
        <v>7733</v>
      </c>
      <c r="B98" s="224" t="s">
        <v>257</v>
      </c>
      <c r="C98" s="224" t="s">
        <v>405</v>
      </c>
      <c r="D98" s="224"/>
      <c r="E98" s="222">
        <v>2</v>
      </c>
      <c r="F98" s="225">
        <v>19</v>
      </c>
      <c r="G98" s="223"/>
      <c r="I98" s="253">
        <v>44</v>
      </c>
      <c r="S98" s="218">
        <v>1297.1657299999999</v>
      </c>
      <c r="T98" s="180"/>
      <c r="Y98" s="218">
        <v>448.12844339999998</v>
      </c>
      <c r="Z98" s="180"/>
      <c r="AA98" s="218">
        <v>57404.242420000002</v>
      </c>
      <c r="AB98" s="180"/>
      <c r="AC98" s="252">
        <v>25.09385455</v>
      </c>
      <c r="AD98" s="180"/>
      <c r="AG98" s="218">
        <v>4.371428571</v>
      </c>
      <c r="AH98" s="180"/>
      <c r="AM98" s="218">
        <v>87</v>
      </c>
      <c r="BS98" s="218">
        <v>51.692565899999998</v>
      </c>
      <c r="BT98" s="180"/>
      <c r="BU98" s="218">
        <v>17.858095200000001</v>
      </c>
      <c r="BV98" s="180"/>
    </row>
    <row r="99" spans="1:74">
      <c r="A99" s="123" t="s">
        <v>7733</v>
      </c>
      <c r="B99" s="224" t="s">
        <v>257</v>
      </c>
      <c r="C99" s="224" t="s">
        <v>7987</v>
      </c>
      <c r="D99" s="224"/>
      <c r="E99" s="222">
        <v>7</v>
      </c>
      <c r="F99" s="225">
        <v>42</v>
      </c>
      <c r="G99" s="223"/>
      <c r="I99" s="253">
        <v>42</v>
      </c>
      <c r="S99" s="218">
        <v>1726.6023560000001</v>
      </c>
      <c r="T99" s="180"/>
      <c r="Y99" s="218">
        <v>632.07263790000002</v>
      </c>
      <c r="Z99" s="180"/>
      <c r="AA99" s="218">
        <v>73460.497260000004</v>
      </c>
      <c r="AB99" s="180"/>
      <c r="AC99" s="252">
        <v>33.990290569999999</v>
      </c>
      <c r="AD99" s="180"/>
      <c r="AG99" s="218">
        <v>4.6270161290000003</v>
      </c>
      <c r="AH99" s="180"/>
      <c r="AM99" s="218">
        <v>89</v>
      </c>
      <c r="BS99" s="218">
        <v>50.796928399999999</v>
      </c>
      <c r="BT99" s="180"/>
      <c r="BU99" s="218">
        <v>18.595682100000001</v>
      </c>
      <c r="BV99" s="180"/>
    </row>
    <row r="100" spans="1:74">
      <c r="A100" s="123" t="s">
        <v>7733</v>
      </c>
      <c r="B100" s="224" t="s">
        <v>257</v>
      </c>
      <c r="C100" s="224" t="s">
        <v>7988</v>
      </c>
      <c r="D100" s="224"/>
      <c r="E100" s="222">
        <v>12</v>
      </c>
      <c r="F100" s="225">
        <v>2</v>
      </c>
      <c r="G100" s="223"/>
      <c r="I100" s="253">
        <v>31</v>
      </c>
      <c r="S100" s="218">
        <v>1485.8466229999999</v>
      </c>
      <c r="T100" s="180"/>
      <c r="Y100" s="218">
        <v>565.15710690000003</v>
      </c>
      <c r="Z100" s="180"/>
      <c r="AA100" s="218">
        <v>66990.658590000006</v>
      </c>
      <c r="AB100" s="180"/>
      <c r="AC100" s="252">
        <v>29.87334632</v>
      </c>
      <c r="AD100" s="180"/>
      <c r="AG100" s="218">
        <v>4.4593301439999999</v>
      </c>
      <c r="AH100" s="180"/>
      <c r="AM100" s="218">
        <v>87</v>
      </c>
      <c r="BS100" s="218">
        <v>49.738205000000001</v>
      </c>
      <c r="BT100" s="180"/>
      <c r="BU100" s="218">
        <v>18.918439899999999</v>
      </c>
      <c r="BV100" s="180"/>
    </row>
    <row r="101" spans="1:74">
      <c r="A101" s="123" t="s">
        <v>7733</v>
      </c>
      <c r="B101" s="224" t="s">
        <v>257</v>
      </c>
      <c r="C101" s="224" t="s">
        <v>7989</v>
      </c>
      <c r="D101" s="224"/>
      <c r="E101" s="222">
        <v>16</v>
      </c>
      <c r="F101" s="225">
        <v>59</v>
      </c>
      <c r="G101" s="223"/>
      <c r="I101" s="253">
        <v>31</v>
      </c>
      <c r="S101" s="218">
        <v>1258.219861</v>
      </c>
      <c r="T101" s="180"/>
      <c r="Y101" s="218">
        <v>449.40268350000002</v>
      </c>
      <c r="Z101" s="180"/>
      <c r="AA101" s="218">
        <v>56735.130429999997</v>
      </c>
      <c r="AB101" s="180"/>
      <c r="AC101" s="252">
        <v>24.642531399999999</v>
      </c>
      <c r="AD101" s="180"/>
      <c r="AG101" s="218">
        <v>4.3434343430000002</v>
      </c>
      <c r="AH101" s="180"/>
      <c r="AM101" s="218">
        <v>89</v>
      </c>
      <c r="BS101" s="218">
        <v>51.058872200000003</v>
      </c>
      <c r="BT101" s="180"/>
      <c r="BU101" s="218">
        <v>18.236871699999998</v>
      </c>
      <c r="BV101" s="180"/>
    </row>
    <row r="102" spans="1:74">
      <c r="A102" s="123" t="s">
        <v>7733</v>
      </c>
      <c r="B102" s="224" t="s">
        <v>259</v>
      </c>
      <c r="C102" s="224" t="s">
        <v>405</v>
      </c>
      <c r="D102" s="224"/>
      <c r="E102" s="223">
        <v>1</v>
      </c>
      <c r="F102" s="225">
        <v>63</v>
      </c>
      <c r="G102" s="223"/>
      <c r="I102" s="253">
        <v>40</v>
      </c>
      <c r="S102" s="218" t="s">
        <v>7956</v>
      </c>
      <c r="T102" s="180"/>
      <c r="Y102" s="218" t="s">
        <v>7956</v>
      </c>
      <c r="Z102" s="180"/>
      <c r="AA102" s="218" t="s">
        <v>7956</v>
      </c>
      <c r="AB102" s="180"/>
      <c r="AC102" s="252" t="s">
        <v>7956</v>
      </c>
      <c r="AD102" s="180"/>
      <c r="AG102" s="218">
        <v>4.2218080149999997</v>
      </c>
      <c r="AH102" s="180"/>
      <c r="AM102" s="218">
        <v>89</v>
      </c>
      <c r="BS102" s="218">
        <v>51.024814599999999</v>
      </c>
      <c r="BT102" s="180"/>
      <c r="BU102" s="218">
        <v>18.469562499999999</v>
      </c>
      <c r="BV102" s="180"/>
    </row>
    <row r="103" spans="1:74">
      <c r="A103" s="123" t="s">
        <v>7733</v>
      </c>
      <c r="B103" s="224" t="s">
        <v>259</v>
      </c>
      <c r="C103" s="224" t="s">
        <v>7987</v>
      </c>
      <c r="D103" s="224"/>
      <c r="E103" s="223">
        <v>8</v>
      </c>
      <c r="F103" s="225">
        <v>5</v>
      </c>
      <c r="G103" s="223"/>
      <c r="I103" s="253">
        <v>38</v>
      </c>
      <c r="S103" s="218">
        <v>1604.3795660000001</v>
      </c>
      <c r="T103" s="180"/>
      <c r="Y103" s="218">
        <v>643.848615</v>
      </c>
      <c r="Z103" s="180"/>
      <c r="AA103" s="218">
        <v>74858.155809999997</v>
      </c>
      <c r="AB103" s="180"/>
      <c r="AC103" s="252">
        <v>32.830041870000002</v>
      </c>
      <c r="AD103" s="180"/>
      <c r="AG103" s="218">
        <v>4.3856332699999996</v>
      </c>
      <c r="AH103" s="180"/>
      <c r="AM103" s="218">
        <v>89</v>
      </c>
      <c r="BS103" s="218">
        <v>48.869251300000002</v>
      </c>
      <c r="BT103" s="180"/>
      <c r="BU103" s="218">
        <v>19.611568500000001</v>
      </c>
      <c r="BV103" s="180"/>
    </row>
    <row r="104" spans="1:74">
      <c r="A104" s="123" t="s">
        <v>7733</v>
      </c>
      <c r="B104" s="224" t="s">
        <v>259</v>
      </c>
      <c r="C104" s="224" t="s">
        <v>7988</v>
      </c>
      <c r="D104" s="224"/>
      <c r="E104" s="222">
        <v>9</v>
      </c>
      <c r="F104" s="225">
        <v>62</v>
      </c>
      <c r="G104" s="223"/>
      <c r="I104" s="253">
        <v>39</v>
      </c>
      <c r="S104" s="218">
        <v>1854.6337619999999</v>
      </c>
      <c r="T104" s="180"/>
      <c r="Y104" s="218">
        <v>710.47066830000006</v>
      </c>
      <c r="Z104" s="180"/>
      <c r="AA104" s="218">
        <v>87174.457129999995</v>
      </c>
      <c r="AB104" s="180"/>
      <c r="AC104" s="252">
        <v>37.454559009999997</v>
      </c>
      <c r="AD104" s="180"/>
      <c r="AG104" s="218">
        <v>4.2965061379999998</v>
      </c>
      <c r="AH104" s="180"/>
      <c r="AM104" s="218">
        <v>89</v>
      </c>
      <c r="BS104" s="218">
        <v>49.516902899999998</v>
      </c>
      <c r="BT104" s="180"/>
      <c r="BU104" s="218">
        <v>18.968870200000001</v>
      </c>
      <c r="BV104" s="180"/>
    </row>
    <row r="105" spans="1:74">
      <c r="A105" s="123" t="s">
        <v>7733</v>
      </c>
      <c r="B105" s="224" t="s">
        <v>259</v>
      </c>
      <c r="C105" s="224" t="s">
        <v>7989</v>
      </c>
      <c r="D105" s="224"/>
      <c r="E105" s="222">
        <v>15</v>
      </c>
      <c r="F105" s="225">
        <v>32</v>
      </c>
      <c r="G105" s="223"/>
      <c r="I105" s="253">
        <v>35</v>
      </c>
      <c r="S105" s="218">
        <v>1746.128238</v>
      </c>
      <c r="T105" s="180"/>
      <c r="Y105" s="218">
        <v>658.9554819</v>
      </c>
      <c r="Z105" s="180"/>
      <c r="AA105" s="218">
        <v>79807.241150000002</v>
      </c>
      <c r="AB105" s="180"/>
      <c r="AC105" s="252">
        <v>34.565718099999998</v>
      </c>
      <c r="AD105" s="180"/>
      <c r="AG105" s="218">
        <v>4.3311506079999997</v>
      </c>
      <c r="AH105" s="180"/>
      <c r="AM105" s="218">
        <v>89</v>
      </c>
      <c r="BS105" s="218">
        <v>50.516185800000002</v>
      </c>
      <c r="BT105" s="180"/>
      <c r="BU105" s="218">
        <v>19.063844700000001</v>
      </c>
      <c r="BV105" s="180"/>
    </row>
    <row r="106" spans="1:74">
      <c r="A106" s="123" t="s">
        <v>7857</v>
      </c>
      <c r="B106" s="224" t="s">
        <v>257</v>
      </c>
      <c r="C106" s="224" t="s">
        <v>405</v>
      </c>
      <c r="D106" s="224"/>
      <c r="E106" s="222">
        <v>2</v>
      </c>
      <c r="F106" s="225">
        <v>32</v>
      </c>
      <c r="G106" s="223"/>
      <c r="I106" s="253">
        <v>39</v>
      </c>
      <c r="S106" s="218">
        <v>1316.3021679999999</v>
      </c>
      <c r="T106" s="180"/>
      <c r="Y106" s="218">
        <v>475.41924299999999</v>
      </c>
      <c r="Z106" s="180"/>
      <c r="AA106" s="218">
        <v>54438.042459999997</v>
      </c>
      <c r="AB106" s="180"/>
      <c r="AC106" s="252">
        <v>25.80724627</v>
      </c>
      <c r="AD106" s="180"/>
      <c r="AG106" s="218">
        <v>4.7406639000000004</v>
      </c>
      <c r="AH106" s="180"/>
      <c r="AM106" s="218">
        <v>92</v>
      </c>
      <c r="BS106" s="218">
        <v>51.0051384</v>
      </c>
      <c r="BT106" s="180"/>
      <c r="BU106" s="218">
        <v>18.421928399999999</v>
      </c>
      <c r="BV106" s="180"/>
    </row>
    <row r="107" spans="1:74">
      <c r="A107" s="123" t="s">
        <v>7857</v>
      </c>
      <c r="B107" s="224" t="s">
        <v>257</v>
      </c>
      <c r="C107" s="224" t="s">
        <v>7987</v>
      </c>
      <c r="D107" s="224"/>
      <c r="E107" s="222">
        <v>6</v>
      </c>
      <c r="F107" s="225">
        <v>49</v>
      </c>
      <c r="G107" s="223"/>
      <c r="I107" s="253">
        <v>42</v>
      </c>
      <c r="S107" s="218">
        <v>1384.8398890000001</v>
      </c>
      <c r="T107" s="180"/>
      <c r="Y107" s="218">
        <v>599.53378999999995</v>
      </c>
      <c r="Z107" s="180"/>
      <c r="AA107" s="218">
        <v>56924.028919999997</v>
      </c>
      <c r="AB107" s="180"/>
      <c r="AC107" s="252">
        <v>28.55314151</v>
      </c>
      <c r="AD107" s="180"/>
      <c r="AG107" s="218">
        <v>5.0160085380000003</v>
      </c>
      <c r="AH107" s="180"/>
      <c r="AM107" s="218">
        <v>92</v>
      </c>
      <c r="BS107" s="218">
        <v>48.500438699999997</v>
      </c>
      <c r="BT107" s="180"/>
      <c r="BU107" s="218">
        <v>20.997121799999999</v>
      </c>
      <c r="BV107" s="180"/>
    </row>
    <row r="108" spans="1:74">
      <c r="A108" s="123" t="s">
        <v>7857</v>
      </c>
      <c r="B108" s="224" t="s">
        <v>257</v>
      </c>
      <c r="C108" s="224" t="s">
        <v>7988</v>
      </c>
      <c r="D108" s="224"/>
      <c r="E108" s="223">
        <v>10</v>
      </c>
      <c r="F108" s="225">
        <v>11</v>
      </c>
      <c r="G108" s="223"/>
      <c r="I108" s="253">
        <v>36</v>
      </c>
      <c r="S108" s="218">
        <v>880.82969100000003</v>
      </c>
      <c r="T108" s="180"/>
      <c r="Y108" s="218">
        <v>372.79630580000003</v>
      </c>
      <c r="Z108" s="180"/>
      <c r="AA108" s="218">
        <v>35691.445339999998</v>
      </c>
      <c r="AB108" s="180"/>
      <c r="AC108" s="252">
        <v>17.90449014</v>
      </c>
      <c r="AD108" s="180"/>
      <c r="AG108" s="218">
        <v>5.0164654229999996</v>
      </c>
      <c r="AH108" s="180"/>
      <c r="AM108" s="218">
        <v>89</v>
      </c>
      <c r="BS108" s="218">
        <v>49.196021999999999</v>
      </c>
      <c r="BT108" s="180"/>
      <c r="BU108" s="218">
        <v>20.8213863</v>
      </c>
      <c r="BV108" s="180"/>
    </row>
    <row r="109" spans="1:74">
      <c r="A109" s="123" t="s">
        <v>7857</v>
      </c>
      <c r="B109" s="224" t="s">
        <v>257</v>
      </c>
      <c r="C109" s="224" t="s">
        <v>7989</v>
      </c>
      <c r="D109" s="224"/>
      <c r="E109" s="223">
        <v>13</v>
      </c>
      <c r="F109" s="225">
        <v>36</v>
      </c>
      <c r="G109" s="223"/>
      <c r="I109" s="253">
        <v>39</v>
      </c>
      <c r="S109" s="218">
        <v>1486.297902</v>
      </c>
      <c r="T109" s="180"/>
      <c r="Y109" s="218">
        <v>673.65990929999998</v>
      </c>
      <c r="Z109" s="180"/>
      <c r="AA109" s="218">
        <v>62628.140160000003</v>
      </c>
      <c r="AB109" s="180"/>
      <c r="AC109" s="252">
        <v>30.234274559999999</v>
      </c>
      <c r="AD109" s="180"/>
      <c r="AG109" s="218">
        <v>4.8275862070000004</v>
      </c>
      <c r="AH109" s="180"/>
      <c r="AM109" s="218">
        <v>92</v>
      </c>
      <c r="BS109" s="218">
        <v>49.1593704</v>
      </c>
      <c r="BT109" s="180"/>
      <c r="BU109" s="218">
        <v>22.281331999999999</v>
      </c>
      <c r="BV109" s="180"/>
    </row>
    <row r="110" spans="1:74">
      <c r="A110" s="123" t="s">
        <v>7857</v>
      </c>
      <c r="B110" s="224" t="s">
        <v>259</v>
      </c>
      <c r="C110" s="224" t="s">
        <v>405</v>
      </c>
      <c r="D110" s="224"/>
      <c r="E110" s="222">
        <v>3</v>
      </c>
      <c r="F110" s="225">
        <v>41</v>
      </c>
      <c r="G110" s="223"/>
      <c r="I110" s="253">
        <v>38</v>
      </c>
      <c r="S110" s="218">
        <v>1455.121875</v>
      </c>
      <c r="T110" s="180"/>
      <c r="Y110" s="218">
        <v>658.93561609999995</v>
      </c>
      <c r="Z110" s="180"/>
      <c r="AA110" s="218">
        <v>60918.127410000001</v>
      </c>
      <c r="AB110" s="180"/>
      <c r="AC110" s="252">
        <v>30.32945067</v>
      </c>
      <c r="AD110" s="180"/>
      <c r="AG110" s="218">
        <v>4.9787234040000001</v>
      </c>
      <c r="AH110" s="180"/>
      <c r="AM110" s="218">
        <v>92</v>
      </c>
      <c r="BS110" s="218">
        <v>47.977191900000001</v>
      </c>
      <c r="BT110" s="180"/>
      <c r="BU110" s="218">
        <v>21.725933099999999</v>
      </c>
      <c r="BV110" s="180"/>
    </row>
    <row r="111" spans="1:74">
      <c r="A111" s="123" t="s">
        <v>7857</v>
      </c>
      <c r="B111" s="224" t="s">
        <v>259</v>
      </c>
      <c r="C111" s="224" t="s">
        <v>7987</v>
      </c>
      <c r="D111" s="224"/>
      <c r="E111" s="222">
        <v>7</v>
      </c>
      <c r="F111" s="225">
        <v>1</v>
      </c>
      <c r="G111" s="223"/>
      <c r="I111" s="253">
        <v>32</v>
      </c>
      <c r="S111" s="218">
        <v>1592.3770019999999</v>
      </c>
      <c r="T111" s="180"/>
      <c r="Y111" s="218">
        <v>679.28843449999999</v>
      </c>
      <c r="Z111" s="180"/>
      <c r="AA111" s="218">
        <v>65262.521460000004</v>
      </c>
      <c r="AB111" s="180"/>
      <c r="AC111" s="252">
        <v>32.596583510000002</v>
      </c>
      <c r="AD111" s="180"/>
      <c r="AG111" s="218">
        <v>4.9946865039999997</v>
      </c>
      <c r="AH111" s="180"/>
      <c r="AM111" s="218">
        <v>92</v>
      </c>
      <c r="BS111" s="218">
        <v>48.851039900000004</v>
      </c>
      <c r="BT111" s="180"/>
      <c r="BU111" s="218">
        <v>20.839252500000001</v>
      </c>
      <c r="BV111" s="180"/>
    </row>
    <row r="112" spans="1:74">
      <c r="A112" s="123" t="s">
        <v>7857</v>
      </c>
      <c r="B112" s="224" t="s">
        <v>259</v>
      </c>
      <c r="C112" s="224" t="s">
        <v>7988</v>
      </c>
      <c r="D112" s="224"/>
      <c r="E112" s="222">
        <v>11</v>
      </c>
      <c r="F112" s="225">
        <v>61</v>
      </c>
      <c r="G112" s="223"/>
      <c r="I112" s="253">
        <v>39</v>
      </c>
      <c r="S112" s="218">
        <v>1495.2501420000001</v>
      </c>
      <c r="T112" s="180"/>
      <c r="Y112" s="218">
        <v>689.62565259999997</v>
      </c>
      <c r="Z112" s="180"/>
      <c r="AA112" s="218">
        <v>66245.042809999999</v>
      </c>
      <c r="AB112" s="180"/>
      <c r="AC112" s="252">
        <v>31.52256405</v>
      </c>
      <c r="AD112" s="180"/>
      <c r="AG112" s="218">
        <v>4.758478931</v>
      </c>
      <c r="AH112" s="180"/>
      <c r="AM112" s="218">
        <v>94</v>
      </c>
      <c r="BS112" s="218">
        <v>47.434280399999999</v>
      </c>
      <c r="BT112" s="180"/>
      <c r="BU112" s="218">
        <v>21.8772068</v>
      </c>
      <c r="BV112" s="180"/>
    </row>
    <row r="113" spans="1:74">
      <c r="A113" s="123" t="s">
        <v>7857</v>
      </c>
      <c r="B113" s="224" t="s">
        <v>259</v>
      </c>
      <c r="C113" s="224" t="s">
        <v>7989</v>
      </c>
      <c r="D113" s="224"/>
      <c r="E113" s="222">
        <v>15</v>
      </c>
      <c r="F113" s="225">
        <v>10</v>
      </c>
      <c r="G113" s="223"/>
      <c r="I113" s="253">
        <v>33</v>
      </c>
      <c r="S113" s="218">
        <v>1232.6597059999999</v>
      </c>
      <c r="T113" s="180"/>
      <c r="Y113" s="218">
        <v>565.95972740000002</v>
      </c>
      <c r="Z113" s="180"/>
      <c r="AA113" s="218">
        <v>52410.977509999997</v>
      </c>
      <c r="AB113" s="180"/>
      <c r="AC113" s="252">
        <v>25.653794260000002</v>
      </c>
      <c r="AD113" s="180"/>
      <c r="AG113" s="218">
        <v>4.8947368420000004</v>
      </c>
      <c r="AH113" s="180"/>
      <c r="AM113" s="218">
        <v>89</v>
      </c>
      <c r="BS113" s="218">
        <v>48.049800900000001</v>
      </c>
      <c r="BT113" s="180"/>
      <c r="BU113" s="218">
        <v>22.061443300000001</v>
      </c>
      <c r="BV113" s="180"/>
    </row>
    <row r="114" spans="1:74">
      <c r="A114" s="123" t="s">
        <v>7734</v>
      </c>
      <c r="B114" s="224" t="s">
        <v>257</v>
      </c>
      <c r="C114" s="224" t="s">
        <v>405</v>
      </c>
      <c r="D114" s="224"/>
      <c r="E114" s="223">
        <v>2</v>
      </c>
      <c r="F114" s="225">
        <v>25</v>
      </c>
      <c r="G114" s="223"/>
      <c r="I114" s="253">
        <v>41</v>
      </c>
      <c r="S114" s="218">
        <v>1473.7827070000001</v>
      </c>
      <c r="T114" s="180"/>
      <c r="Y114" s="218">
        <v>556.70442909999997</v>
      </c>
      <c r="Z114" s="180"/>
      <c r="AA114" s="218">
        <v>68468.576879999993</v>
      </c>
      <c r="AB114" s="180"/>
      <c r="AC114" s="252">
        <v>29.279746230000001</v>
      </c>
      <c r="AD114" s="180"/>
      <c r="AG114" s="218">
        <v>4.2763772180000004</v>
      </c>
      <c r="AH114" s="180"/>
      <c r="AM114" s="218">
        <v>92</v>
      </c>
      <c r="BS114" s="218">
        <v>50.3345451</v>
      </c>
      <c r="BT114" s="180"/>
      <c r="BU114" s="218">
        <v>19.013294200000001</v>
      </c>
      <c r="BV114" s="180"/>
    </row>
    <row r="115" spans="1:74">
      <c r="A115" s="123" t="s">
        <v>7734</v>
      </c>
      <c r="B115" s="224" t="s">
        <v>257</v>
      </c>
      <c r="C115" s="224" t="s">
        <v>7987</v>
      </c>
      <c r="D115" s="224"/>
      <c r="E115" s="223">
        <v>8</v>
      </c>
      <c r="F115" s="225">
        <v>47</v>
      </c>
      <c r="G115" s="223"/>
      <c r="I115" s="253">
        <v>37</v>
      </c>
      <c r="S115" s="218">
        <v>1653.124288</v>
      </c>
      <c r="T115" s="180"/>
      <c r="Y115" s="218">
        <v>662.95002720000002</v>
      </c>
      <c r="Z115" s="180"/>
      <c r="AA115" s="218">
        <v>78601.803799999994</v>
      </c>
      <c r="AB115" s="180"/>
      <c r="AC115" s="252">
        <v>33.946654840000001</v>
      </c>
      <c r="AD115" s="180"/>
      <c r="AG115" s="218">
        <v>4.3188137160000002</v>
      </c>
      <c r="AH115" s="180"/>
      <c r="AM115" s="218">
        <v>92</v>
      </c>
      <c r="BS115" s="218">
        <v>48.6977081</v>
      </c>
      <c r="BT115" s="180"/>
      <c r="BU115" s="218">
        <v>19.529171000000002</v>
      </c>
      <c r="BV115" s="180"/>
    </row>
    <row r="116" spans="1:74">
      <c r="A116" s="123" t="s">
        <v>7734</v>
      </c>
      <c r="B116" s="224" t="s">
        <v>257</v>
      </c>
      <c r="C116" s="224" t="s">
        <v>7988</v>
      </c>
      <c r="D116" s="224"/>
      <c r="E116" s="222">
        <v>9</v>
      </c>
      <c r="F116" s="225">
        <v>24</v>
      </c>
      <c r="G116" s="223"/>
      <c r="I116" s="253">
        <v>38</v>
      </c>
      <c r="S116" s="218">
        <v>1601.070796</v>
      </c>
      <c r="T116" s="180"/>
      <c r="Y116" s="218">
        <v>636.03908079999997</v>
      </c>
      <c r="Z116" s="180"/>
      <c r="AA116" s="218">
        <v>77791.560740000001</v>
      </c>
      <c r="AB116" s="180"/>
      <c r="AC116" s="252">
        <v>32.649742639999999</v>
      </c>
      <c r="AD116" s="180"/>
      <c r="AG116" s="218">
        <v>4.1970802919999999</v>
      </c>
      <c r="AH116" s="180"/>
      <c r="AM116" s="218">
        <v>92</v>
      </c>
      <c r="BS116" s="218">
        <v>49.037776899999997</v>
      </c>
      <c r="BT116" s="180"/>
      <c r="BU116" s="218">
        <v>19.4806767</v>
      </c>
      <c r="BV116" s="180"/>
    </row>
    <row r="117" spans="1:74">
      <c r="A117" s="123" t="s">
        <v>7734</v>
      </c>
      <c r="B117" s="224" t="s">
        <v>257</v>
      </c>
      <c r="C117" s="224" t="s">
        <v>7989</v>
      </c>
      <c r="D117" s="224"/>
      <c r="E117" s="222">
        <v>14</v>
      </c>
      <c r="F117" s="225">
        <v>60</v>
      </c>
      <c r="G117" s="223"/>
      <c r="I117" s="253">
        <v>39</v>
      </c>
      <c r="S117" s="218">
        <v>1531.251221</v>
      </c>
      <c r="T117" s="180"/>
      <c r="Y117" s="218">
        <v>607.27337290000003</v>
      </c>
      <c r="Z117" s="180"/>
      <c r="AA117" s="218">
        <v>75290.111869999993</v>
      </c>
      <c r="AB117" s="180"/>
      <c r="AC117" s="252">
        <v>30.927475279999999</v>
      </c>
      <c r="AD117" s="180"/>
      <c r="AG117" s="218">
        <v>4.1077738520000002</v>
      </c>
      <c r="AH117" s="180"/>
      <c r="AM117" s="218">
        <v>89</v>
      </c>
      <c r="BS117" s="218">
        <v>49.511032100000001</v>
      </c>
      <c r="BT117" s="180"/>
      <c r="BU117" s="218">
        <v>19.635400799999999</v>
      </c>
      <c r="BV117" s="180"/>
    </row>
    <row r="118" spans="1:74">
      <c r="A118" s="123" t="s">
        <v>7734</v>
      </c>
      <c r="B118" s="224" t="s">
        <v>259</v>
      </c>
      <c r="C118" s="224" t="s">
        <v>405</v>
      </c>
      <c r="D118" s="224"/>
      <c r="E118" s="222">
        <v>4</v>
      </c>
      <c r="F118" s="225">
        <v>35</v>
      </c>
      <c r="G118" s="223"/>
      <c r="I118" s="253">
        <v>44</v>
      </c>
      <c r="S118" s="218">
        <v>1675.865237</v>
      </c>
      <c r="T118" s="180"/>
      <c r="Y118" s="218">
        <v>707.17823390000001</v>
      </c>
      <c r="Z118" s="180"/>
      <c r="AA118" s="218">
        <v>80532.588000000003</v>
      </c>
      <c r="AB118" s="180"/>
      <c r="AC118" s="252">
        <v>34.39797068</v>
      </c>
      <c r="AD118" s="180"/>
      <c r="AG118" s="218">
        <v>4.2713107240000001</v>
      </c>
      <c r="AH118" s="180"/>
      <c r="AM118" s="218">
        <v>92</v>
      </c>
      <c r="BS118" s="218">
        <v>48.719886799999998</v>
      </c>
      <c r="BT118" s="180"/>
      <c r="BU118" s="218">
        <v>20.5587196</v>
      </c>
      <c r="BV118" s="180"/>
    </row>
    <row r="119" spans="1:74">
      <c r="A119" s="123" t="s">
        <v>7734</v>
      </c>
      <c r="B119" s="224" t="s">
        <v>259</v>
      </c>
      <c r="C119" s="224" t="s">
        <v>7987</v>
      </c>
      <c r="D119" s="224"/>
      <c r="E119" s="222">
        <v>8</v>
      </c>
      <c r="F119" s="225">
        <v>28</v>
      </c>
      <c r="G119" s="223"/>
      <c r="I119" s="253">
        <v>38</v>
      </c>
      <c r="S119" s="218">
        <v>1590.2874360000001</v>
      </c>
      <c r="T119" s="180"/>
      <c r="Y119" s="218">
        <v>648.13353289999998</v>
      </c>
      <c r="Z119" s="180"/>
      <c r="AA119" s="218">
        <v>74460.269870000004</v>
      </c>
      <c r="AB119" s="180"/>
      <c r="AC119" s="252">
        <v>32.139130430000002</v>
      </c>
      <c r="AD119" s="180"/>
      <c r="AG119" s="218">
        <v>4.3162790700000002</v>
      </c>
      <c r="AH119" s="180"/>
      <c r="AM119" s="218">
        <v>92</v>
      </c>
      <c r="BS119" s="218">
        <v>49.481346100000003</v>
      </c>
      <c r="BT119" s="180"/>
      <c r="BU119" s="218">
        <v>20.1664925</v>
      </c>
      <c r="BV119" s="180"/>
    </row>
    <row r="120" spans="1:74">
      <c r="A120" s="154" t="s">
        <v>7734</v>
      </c>
      <c r="B120" s="224" t="s">
        <v>259</v>
      </c>
      <c r="C120" s="224" t="s">
        <v>7988</v>
      </c>
      <c r="D120" s="224"/>
      <c r="E120" s="223">
        <v>10</v>
      </c>
      <c r="F120" s="225">
        <v>58</v>
      </c>
      <c r="G120" s="223"/>
      <c r="I120" s="253">
        <v>44</v>
      </c>
      <c r="S120" s="218">
        <v>1710.375117</v>
      </c>
      <c r="T120" s="180"/>
      <c r="Y120" s="218">
        <v>712.81577279999999</v>
      </c>
      <c r="Z120" s="180"/>
      <c r="AA120" s="218">
        <v>82285.375390000001</v>
      </c>
      <c r="AB120" s="180"/>
      <c r="AC120" s="252">
        <v>35.115414970000003</v>
      </c>
      <c r="AD120" s="180"/>
      <c r="AG120" s="218">
        <v>4.2675159239999996</v>
      </c>
      <c r="AH120" s="180"/>
      <c r="AM120" s="218">
        <v>92</v>
      </c>
      <c r="BS120" s="218">
        <v>48.707244899999999</v>
      </c>
      <c r="BT120" s="180"/>
      <c r="BU120" s="218">
        <v>20.2992268</v>
      </c>
      <c r="BV120" s="180"/>
    </row>
    <row r="121" spans="1:74">
      <c r="A121" s="154" t="s">
        <v>7734</v>
      </c>
      <c r="B121" s="224" t="s">
        <v>259</v>
      </c>
      <c r="C121" s="224" t="s">
        <v>7989</v>
      </c>
      <c r="D121" s="224"/>
      <c r="E121" s="223">
        <v>15</v>
      </c>
      <c r="F121" s="225">
        <v>5</v>
      </c>
      <c r="G121" s="223"/>
      <c r="I121" s="253">
        <v>34</v>
      </c>
      <c r="S121" s="218">
        <v>1550.27656</v>
      </c>
      <c r="T121" s="180"/>
      <c r="Y121" s="218">
        <v>647.19927270000005</v>
      </c>
      <c r="Z121" s="180"/>
      <c r="AA121" s="218">
        <v>84926.155180000002</v>
      </c>
      <c r="AB121" s="180"/>
      <c r="AC121" s="252">
        <v>31.786046540000001</v>
      </c>
      <c r="AD121" s="180"/>
      <c r="AG121" s="218" t="s">
        <v>7956</v>
      </c>
      <c r="AH121" s="180"/>
      <c r="AM121" s="218">
        <v>89</v>
      </c>
      <c r="BS121" s="218">
        <v>48.772235899999998</v>
      </c>
      <c r="BT121" s="180"/>
      <c r="BU121" s="218">
        <v>20.361112599999998</v>
      </c>
      <c r="BV121" s="180"/>
    </row>
    <row r="122" spans="1:74">
      <c r="A122" s="154" t="s">
        <v>7844</v>
      </c>
      <c r="B122" s="224" t="s">
        <v>257</v>
      </c>
      <c r="C122" s="224" t="s">
        <v>405</v>
      </c>
      <c r="D122" s="224"/>
      <c r="E122" s="222">
        <v>4</v>
      </c>
      <c r="F122" s="225">
        <v>5</v>
      </c>
      <c r="G122" s="223"/>
      <c r="I122" s="253">
        <v>36</v>
      </c>
      <c r="S122" s="218">
        <v>1576.506756</v>
      </c>
      <c r="T122" s="180"/>
      <c r="Y122" s="218">
        <v>572.51102270000001</v>
      </c>
      <c r="Z122" s="180"/>
      <c r="AA122" s="218">
        <v>64025.279999999999</v>
      </c>
      <c r="AB122" s="180"/>
      <c r="AC122" s="252">
        <v>30.69524741</v>
      </c>
      <c r="AD122" s="180"/>
      <c r="AG122" s="218">
        <v>4.7942386829999997</v>
      </c>
      <c r="AH122" s="180"/>
      <c r="AM122" s="218">
        <v>89</v>
      </c>
      <c r="BS122" s="218">
        <v>51.359962500000002</v>
      </c>
      <c r="BT122" s="180"/>
      <c r="BU122" s="218">
        <v>18.651454900000001</v>
      </c>
      <c r="BV122" s="180"/>
    </row>
    <row r="123" spans="1:74">
      <c r="A123" s="154" t="s">
        <v>7844</v>
      </c>
      <c r="B123" s="224" t="s">
        <v>257</v>
      </c>
      <c r="C123" s="224" t="s">
        <v>7987</v>
      </c>
      <c r="D123" s="224"/>
      <c r="E123" s="222">
        <v>5</v>
      </c>
      <c r="F123" s="225">
        <v>35</v>
      </c>
      <c r="G123" s="223"/>
      <c r="I123" s="253">
        <v>32</v>
      </c>
      <c r="S123" s="218">
        <v>1502.161413</v>
      </c>
      <c r="T123" s="180"/>
      <c r="Y123" s="218">
        <v>504.87520890000002</v>
      </c>
      <c r="Z123" s="180"/>
      <c r="AA123" s="218">
        <v>64780.409800000001</v>
      </c>
      <c r="AB123" s="180"/>
      <c r="AC123" s="252">
        <v>28.902028990000002</v>
      </c>
      <c r="AD123" s="180"/>
      <c r="AG123" s="218">
        <v>4.461538462</v>
      </c>
      <c r="AH123" s="180"/>
      <c r="AM123" s="218">
        <v>89</v>
      </c>
      <c r="BS123" s="218">
        <v>51.974254600000002</v>
      </c>
      <c r="BT123" s="180"/>
      <c r="BU123" s="218">
        <v>17.468503999999999</v>
      </c>
      <c r="BV123" s="180"/>
    </row>
    <row r="124" spans="1:74">
      <c r="A124" s="154" t="s">
        <v>7844</v>
      </c>
      <c r="B124" s="224" t="s">
        <v>257</v>
      </c>
      <c r="C124" s="224" t="s">
        <v>7988</v>
      </c>
      <c r="D124" s="224"/>
      <c r="E124" s="222">
        <v>11</v>
      </c>
      <c r="F124" s="225">
        <v>13</v>
      </c>
      <c r="G124" s="223"/>
      <c r="I124" s="253">
        <v>36</v>
      </c>
      <c r="S124" s="218">
        <v>1355.326523</v>
      </c>
      <c r="T124" s="180"/>
      <c r="Y124" s="218">
        <v>463.4357503</v>
      </c>
      <c r="Z124" s="180"/>
      <c r="AA124" s="218">
        <v>54593.871740000002</v>
      </c>
      <c r="AB124" s="180"/>
      <c r="AC124" s="252">
        <v>26.171289030000001</v>
      </c>
      <c r="AD124" s="180"/>
      <c r="AG124" s="218">
        <v>4.7938144329999997</v>
      </c>
      <c r="AH124" s="180"/>
      <c r="AM124" s="218">
        <v>87</v>
      </c>
      <c r="BS124" s="218">
        <v>51.786769900000003</v>
      </c>
      <c r="BT124" s="180"/>
      <c r="BU124" s="218">
        <v>17.707792300000001</v>
      </c>
      <c r="BV124" s="180"/>
    </row>
    <row r="125" spans="1:74">
      <c r="A125" s="154" t="s">
        <v>7844</v>
      </c>
      <c r="B125" s="224" t="s">
        <v>257</v>
      </c>
      <c r="C125" s="224" t="s">
        <v>7989</v>
      </c>
      <c r="D125" s="224"/>
      <c r="E125" s="222">
        <v>16</v>
      </c>
      <c r="F125" s="225">
        <v>40</v>
      </c>
      <c r="G125" s="223"/>
      <c r="I125" s="253">
        <v>30</v>
      </c>
      <c r="S125" s="218">
        <v>1717.8979730000001</v>
      </c>
      <c r="T125" s="180"/>
      <c r="Y125" s="218">
        <v>612.91001700000004</v>
      </c>
      <c r="Z125" s="180"/>
      <c r="AA125" s="218">
        <v>68926.087650000001</v>
      </c>
      <c r="AB125" s="180"/>
      <c r="AC125" s="252">
        <v>33.115723180000003</v>
      </c>
      <c r="AD125" s="180"/>
      <c r="AG125" s="218">
        <v>4.8045267489999999</v>
      </c>
      <c r="AH125" s="180"/>
      <c r="AM125" s="218">
        <v>89</v>
      </c>
      <c r="BS125" s="218">
        <v>51.8755989</v>
      </c>
      <c r="BT125" s="180"/>
      <c r="BU125" s="218">
        <v>18.508127200000001</v>
      </c>
      <c r="BV125" s="180"/>
    </row>
    <row r="126" spans="1:74">
      <c r="A126" s="154" t="s">
        <v>7844</v>
      </c>
      <c r="B126" s="224" t="s">
        <v>259</v>
      </c>
      <c r="C126" s="224" t="s">
        <v>405</v>
      </c>
      <c r="D126" s="224"/>
      <c r="E126" s="223">
        <v>2</v>
      </c>
      <c r="F126" s="225">
        <v>54</v>
      </c>
      <c r="G126" s="223"/>
      <c r="I126" s="253">
        <v>40</v>
      </c>
      <c r="S126" s="218">
        <v>1717.7200009999999</v>
      </c>
      <c r="T126" s="180"/>
      <c r="Y126" s="218">
        <v>636.88870039999995</v>
      </c>
      <c r="Z126" s="180"/>
      <c r="AA126" s="218">
        <v>77421.62427</v>
      </c>
      <c r="AB126" s="180"/>
      <c r="AC126" s="252">
        <v>34.015231300000004</v>
      </c>
      <c r="AD126" s="180"/>
      <c r="AG126" s="218">
        <v>4.3935052529999998</v>
      </c>
      <c r="AH126" s="180"/>
      <c r="AM126" s="218">
        <v>89</v>
      </c>
      <c r="BS126" s="218">
        <v>50.498554200000001</v>
      </c>
      <c r="BT126" s="180"/>
      <c r="BU126" s="218">
        <v>18.723632800000001</v>
      </c>
      <c r="BV126" s="180"/>
    </row>
    <row r="127" spans="1:74">
      <c r="A127" s="154" t="s">
        <v>7844</v>
      </c>
      <c r="B127" s="224" t="s">
        <v>259</v>
      </c>
      <c r="C127" s="224" t="s">
        <v>7987</v>
      </c>
      <c r="D127" s="224"/>
      <c r="E127" s="223">
        <v>8</v>
      </c>
      <c r="F127" s="225">
        <v>8</v>
      </c>
      <c r="G127" s="223"/>
      <c r="I127" s="253">
        <v>33</v>
      </c>
      <c r="S127" s="218">
        <v>1655.143364</v>
      </c>
      <c r="T127" s="180"/>
      <c r="Y127" s="218">
        <v>605.36053049999998</v>
      </c>
      <c r="Z127" s="180"/>
      <c r="AA127" s="218">
        <v>68477.586880000003</v>
      </c>
      <c r="AB127" s="180"/>
      <c r="AC127" s="252">
        <v>32.323092889999998</v>
      </c>
      <c r="AD127" s="180"/>
      <c r="AG127" s="218">
        <v>4.7202441510000002</v>
      </c>
      <c r="AH127" s="180"/>
      <c r="AM127" s="218">
        <v>89</v>
      </c>
      <c r="BS127" s="218">
        <v>51.206218700000001</v>
      </c>
      <c r="BT127" s="180"/>
      <c r="BU127" s="218">
        <v>18.728422200000001</v>
      </c>
      <c r="BV127" s="180"/>
    </row>
    <row r="128" spans="1:74">
      <c r="A128" s="154" t="s">
        <v>7844</v>
      </c>
      <c r="B128" s="224" t="s">
        <v>259</v>
      </c>
      <c r="C128" s="224" t="s">
        <v>7988</v>
      </c>
      <c r="D128" s="224"/>
      <c r="E128" s="222">
        <v>10</v>
      </c>
      <c r="F128" s="225">
        <v>51</v>
      </c>
      <c r="G128" s="223"/>
      <c r="I128" s="253">
        <v>40</v>
      </c>
      <c r="S128" s="218">
        <v>1979.847497</v>
      </c>
      <c r="T128" s="180"/>
      <c r="Y128" s="218">
        <v>694.67942549999998</v>
      </c>
      <c r="Z128" s="180"/>
      <c r="AA128" s="218">
        <v>82901.584329999998</v>
      </c>
      <c r="AB128" s="180"/>
      <c r="AC128" s="252">
        <v>38.186950260000003</v>
      </c>
      <c r="AD128" s="180"/>
      <c r="AG128" s="218">
        <v>4.6062992129999998</v>
      </c>
      <c r="AH128" s="180"/>
      <c r="AM128" s="218">
        <v>89</v>
      </c>
      <c r="BS128" s="218">
        <v>51.846179999999997</v>
      </c>
      <c r="BT128" s="180"/>
      <c r="BU128" s="218">
        <v>18.191539800000001</v>
      </c>
      <c r="BV128" s="180"/>
    </row>
    <row r="129" spans="1:74">
      <c r="A129" s="154" t="s">
        <v>7844</v>
      </c>
      <c r="B129" s="224" t="s">
        <v>259</v>
      </c>
      <c r="C129" s="224" t="s">
        <v>7989</v>
      </c>
      <c r="D129" s="224"/>
      <c r="E129" s="222">
        <v>16</v>
      </c>
      <c r="F129" s="225">
        <v>15</v>
      </c>
      <c r="G129" s="223"/>
      <c r="I129" s="253">
        <v>33</v>
      </c>
      <c r="S129" s="218">
        <v>1590.9414870000001</v>
      </c>
      <c r="T129" s="180"/>
      <c r="Y129" s="218">
        <v>600.44785300000001</v>
      </c>
      <c r="Z129" s="180"/>
      <c r="AA129" s="218">
        <v>70935.626099999994</v>
      </c>
      <c r="AB129" s="180"/>
      <c r="AC129" s="252">
        <v>31.39660494</v>
      </c>
      <c r="AD129" s="180"/>
      <c r="AG129" s="218">
        <v>4.4260700389999998</v>
      </c>
      <c r="AH129" s="180"/>
      <c r="AM129" s="218">
        <v>87</v>
      </c>
      <c r="BS129" s="218">
        <v>50.6724052</v>
      </c>
      <c r="BT129" s="180"/>
      <c r="BU129" s="218">
        <v>19.1246109</v>
      </c>
      <c r="BV129" s="180"/>
    </row>
    <row r="130" spans="1:74">
      <c r="A130" s="154" t="s">
        <v>7858</v>
      </c>
      <c r="B130" s="224" t="s">
        <v>257</v>
      </c>
      <c r="C130" s="224" t="s">
        <v>405</v>
      </c>
      <c r="D130" s="224"/>
      <c r="E130" s="222">
        <v>3</v>
      </c>
      <c r="F130" s="225">
        <v>20</v>
      </c>
      <c r="G130" s="223"/>
      <c r="I130" s="253" t="s">
        <v>7956</v>
      </c>
      <c r="S130" s="218" t="s">
        <v>7956</v>
      </c>
      <c r="T130" s="180"/>
      <c r="Y130" s="218" t="s">
        <v>7956</v>
      </c>
      <c r="Z130" s="180"/>
      <c r="AA130" s="218" t="s">
        <v>7956</v>
      </c>
      <c r="AB130" s="180"/>
      <c r="AC130" s="252" t="s">
        <v>7956</v>
      </c>
      <c r="AD130" s="180"/>
      <c r="AG130" s="218" t="s">
        <v>7956</v>
      </c>
      <c r="AH130" s="180"/>
      <c r="AM130" s="218">
        <v>89</v>
      </c>
      <c r="BS130" s="218" t="s">
        <v>7956</v>
      </c>
      <c r="BT130" s="180"/>
      <c r="BU130" s="218" t="s">
        <v>7956</v>
      </c>
      <c r="BV130" s="180"/>
    </row>
    <row r="131" spans="1:74">
      <c r="A131" s="154" t="s">
        <v>7858</v>
      </c>
      <c r="B131" s="224" t="s">
        <v>257</v>
      </c>
      <c r="C131" s="224" t="s">
        <v>7987</v>
      </c>
      <c r="D131" s="224"/>
      <c r="E131" s="222">
        <v>7</v>
      </c>
      <c r="F131" s="225">
        <v>49</v>
      </c>
      <c r="G131" s="223"/>
      <c r="I131" s="253">
        <v>38</v>
      </c>
      <c r="S131" s="218">
        <v>1651.2196570000001</v>
      </c>
      <c r="T131" s="180"/>
      <c r="Y131" s="218">
        <v>626.2347317</v>
      </c>
      <c r="Z131" s="180"/>
      <c r="AA131" s="218">
        <v>73012.530119999996</v>
      </c>
      <c r="AB131" s="180"/>
      <c r="AC131" s="252">
        <v>32.802730920000002</v>
      </c>
      <c r="AD131" s="180"/>
      <c r="AG131" s="218">
        <v>4.4927536229999996</v>
      </c>
      <c r="AH131" s="180"/>
      <c r="AM131" s="218">
        <v>92</v>
      </c>
      <c r="BS131" s="218">
        <v>50.3378716</v>
      </c>
      <c r="BT131" s="180"/>
      <c r="BU131" s="218">
        <v>19.090932800000001</v>
      </c>
      <c r="BV131" s="180"/>
    </row>
    <row r="132" spans="1:74">
      <c r="A132" s="154" t="s">
        <v>7858</v>
      </c>
      <c r="B132" s="224" t="s">
        <v>257</v>
      </c>
      <c r="C132" s="224" t="s">
        <v>7988</v>
      </c>
      <c r="D132" s="224"/>
      <c r="E132" s="223">
        <v>11</v>
      </c>
      <c r="F132" s="225">
        <v>2</v>
      </c>
      <c r="G132" s="223"/>
      <c r="I132" s="253">
        <v>36</v>
      </c>
      <c r="S132" s="218">
        <v>1410.8545200000001</v>
      </c>
      <c r="T132" s="180"/>
      <c r="Y132" s="218">
        <v>514.3548677</v>
      </c>
      <c r="Z132" s="180"/>
      <c r="AA132" s="218">
        <v>58679.218030000004</v>
      </c>
      <c r="AB132" s="180"/>
      <c r="AC132" s="252">
        <v>28.204267730000002</v>
      </c>
      <c r="AD132" s="180"/>
      <c r="AG132" s="218">
        <v>4.8065173120000004</v>
      </c>
      <c r="AH132" s="180"/>
      <c r="AM132" s="218">
        <v>89</v>
      </c>
      <c r="BS132" s="218">
        <v>50.022731800000003</v>
      </c>
      <c r="BT132" s="180"/>
      <c r="BU132" s="218">
        <v>18.236774400000002</v>
      </c>
      <c r="BV132" s="180"/>
    </row>
    <row r="133" spans="1:74">
      <c r="A133" s="154" t="s">
        <v>7858</v>
      </c>
      <c r="B133" s="224" t="s">
        <v>257</v>
      </c>
      <c r="C133" s="224" t="s">
        <v>7989</v>
      </c>
      <c r="D133" s="224"/>
      <c r="E133" s="223">
        <v>16</v>
      </c>
      <c r="F133" s="225">
        <v>62</v>
      </c>
      <c r="G133" s="223"/>
      <c r="I133" s="253">
        <v>41</v>
      </c>
      <c r="S133" s="218">
        <v>1494.6906409999999</v>
      </c>
      <c r="T133" s="180"/>
      <c r="Y133" s="218">
        <v>568.67335920000005</v>
      </c>
      <c r="Z133" s="180"/>
      <c r="AA133" s="218">
        <v>66235.58885</v>
      </c>
      <c r="AB133" s="180"/>
      <c r="AC133" s="252">
        <v>30.429023000000001</v>
      </c>
      <c r="AD133" s="180"/>
      <c r="AG133" s="218">
        <v>4.5940594060000004</v>
      </c>
      <c r="AH133" s="180"/>
      <c r="AM133" s="218">
        <v>92</v>
      </c>
      <c r="BS133" s="218">
        <v>49.120559700000001</v>
      </c>
      <c r="BT133" s="180"/>
      <c r="BU133" s="218">
        <v>18.688518500000001</v>
      </c>
      <c r="BV133" s="180"/>
    </row>
    <row r="134" spans="1:74">
      <c r="A134" s="154" t="s">
        <v>7858</v>
      </c>
      <c r="B134" s="224" t="s">
        <v>259</v>
      </c>
      <c r="C134" s="224" t="s">
        <v>405</v>
      </c>
      <c r="D134" s="224"/>
      <c r="E134" s="222">
        <v>1</v>
      </c>
      <c r="F134" s="225">
        <v>42</v>
      </c>
      <c r="G134" s="223"/>
      <c r="I134" s="253">
        <v>37</v>
      </c>
      <c r="S134" s="218">
        <v>1609.938011</v>
      </c>
      <c r="T134" s="180"/>
      <c r="Y134" s="218">
        <v>579.94536059999996</v>
      </c>
      <c r="Z134" s="180"/>
      <c r="AA134" s="218">
        <v>69538.195500000002</v>
      </c>
      <c r="AB134" s="180"/>
      <c r="AC134" s="252">
        <v>31.840085550000001</v>
      </c>
      <c r="AD134" s="180"/>
      <c r="AG134" s="218">
        <v>4.5787908819999998</v>
      </c>
      <c r="AH134" s="180"/>
      <c r="AM134" s="218">
        <v>89</v>
      </c>
      <c r="BS134" s="218">
        <v>50.563243900000003</v>
      </c>
      <c r="BT134" s="180"/>
      <c r="BU134" s="218">
        <v>18.2143154</v>
      </c>
      <c r="BV134" s="180"/>
    </row>
    <row r="135" spans="1:74">
      <c r="A135" s="154" t="s">
        <v>7858</v>
      </c>
      <c r="B135" s="224" t="s">
        <v>259</v>
      </c>
      <c r="C135" s="224" t="s">
        <v>7987</v>
      </c>
      <c r="D135" s="224"/>
      <c r="E135" s="222">
        <v>6</v>
      </c>
      <c r="F135" s="225">
        <v>26</v>
      </c>
      <c r="G135" s="223"/>
      <c r="I135" s="253">
        <v>35</v>
      </c>
      <c r="S135" s="218">
        <v>1796.3964080000001</v>
      </c>
      <c r="T135" s="180"/>
      <c r="Y135" s="218">
        <v>665.72520880000002</v>
      </c>
      <c r="Z135" s="180"/>
      <c r="AA135" s="218">
        <v>75202.175210000001</v>
      </c>
      <c r="AB135" s="180"/>
      <c r="AC135" s="252">
        <v>35.784796630000002</v>
      </c>
      <c r="AD135" s="180"/>
      <c r="AG135" s="218">
        <v>4.758478931</v>
      </c>
      <c r="AH135" s="180"/>
      <c r="AM135" s="218">
        <v>89</v>
      </c>
      <c r="BS135" s="218">
        <v>50.199989299999999</v>
      </c>
      <c r="BT135" s="180"/>
      <c r="BU135" s="218">
        <v>18.603576700000001</v>
      </c>
      <c r="BV135" s="180"/>
    </row>
    <row r="136" spans="1:74">
      <c r="A136" s="154" t="s">
        <v>7858</v>
      </c>
      <c r="B136" s="224" t="s">
        <v>259</v>
      </c>
      <c r="C136" s="224" t="s">
        <v>7988</v>
      </c>
      <c r="D136" s="224"/>
      <c r="E136" s="222">
        <v>11</v>
      </c>
      <c r="F136" s="225">
        <v>60</v>
      </c>
      <c r="G136" s="223"/>
      <c r="I136" s="253">
        <v>41</v>
      </c>
      <c r="S136" s="218">
        <v>1857.4467</v>
      </c>
      <c r="T136" s="180"/>
      <c r="Y136" s="218">
        <v>696.30879909999999</v>
      </c>
      <c r="Z136" s="180"/>
      <c r="AA136" s="218">
        <v>80551.358519999994</v>
      </c>
      <c r="AB136" s="180"/>
      <c r="AC136" s="252">
        <v>37.134176279999998</v>
      </c>
      <c r="AD136" s="180"/>
      <c r="AG136" s="218">
        <v>4.6100000000000003</v>
      </c>
      <c r="AH136" s="180"/>
      <c r="AM136" s="218">
        <v>92</v>
      </c>
      <c r="BS136" s="218">
        <v>50.0198708</v>
      </c>
      <c r="BT136" s="180"/>
      <c r="BU136" s="218">
        <v>18.751157800000001</v>
      </c>
      <c r="BV136" s="180"/>
    </row>
    <row r="137" spans="1:74">
      <c r="A137" s="154" t="s">
        <v>7858</v>
      </c>
      <c r="B137" s="224" t="s">
        <v>259</v>
      </c>
      <c r="C137" s="224" t="s">
        <v>7989</v>
      </c>
      <c r="D137" s="224"/>
      <c r="E137" s="222">
        <v>14</v>
      </c>
      <c r="F137" s="225">
        <v>21</v>
      </c>
      <c r="G137" s="223"/>
      <c r="I137" s="253">
        <v>38</v>
      </c>
      <c r="S137" s="218">
        <v>1711.2774730000001</v>
      </c>
      <c r="T137" s="180"/>
      <c r="Y137" s="218">
        <v>691.95553870000003</v>
      </c>
      <c r="Z137" s="180"/>
      <c r="AA137" s="218">
        <v>74664.903049999994</v>
      </c>
      <c r="AB137" s="180"/>
      <c r="AC137" s="252">
        <v>35.180833999999997</v>
      </c>
      <c r="AD137" s="180"/>
      <c r="AG137" s="218">
        <v>4.7118301310000001</v>
      </c>
      <c r="AH137" s="180"/>
      <c r="AM137" s="218">
        <v>92</v>
      </c>
      <c r="BS137" s="218">
        <v>48.642322499999999</v>
      </c>
      <c r="BT137" s="180"/>
      <c r="BU137" s="218">
        <v>19.668537100000002</v>
      </c>
      <c r="BV137" s="180"/>
    </row>
    <row r="138" spans="1:74">
      <c r="A138" s="154" t="s">
        <v>7735</v>
      </c>
      <c r="B138" s="224" t="s">
        <v>257</v>
      </c>
      <c r="C138" s="224" t="s">
        <v>405</v>
      </c>
      <c r="D138" s="224"/>
      <c r="E138" s="222">
        <v>1</v>
      </c>
      <c r="F138" s="225">
        <v>16</v>
      </c>
      <c r="G138" s="223"/>
      <c r="I138" s="253">
        <v>37</v>
      </c>
      <c r="S138" s="218">
        <v>1859.682589</v>
      </c>
      <c r="T138" s="180"/>
      <c r="Y138" s="218">
        <v>656.02526390000003</v>
      </c>
      <c r="Z138" s="180"/>
      <c r="AA138" s="218">
        <v>79015.429180000006</v>
      </c>
      <c r="AB138" s="180"/>
      <c r="AC138" s="252">
        <v>36.668836890000001</v>
      </c>
      <c r="AD138" s="180"/>
      <c r="AG138" s="218">
        <v>4.6407185630000001</v>
      </c>
      <c r="AH138" s="180"/>
      <c r="AM138" s="218">
        <v>83</v>
      </c>
      <c r="BS138" s="218">
        <v>50.715614299999999</v>
      </c>
      <c r="BT138" s="180"/>
      <c r="BU138" s="218">
        <v>17.890539199999999</v>
      </c>
      <c r="BV138" s="180"/>
    </row>
    <row r="139" spans="1:74">
      <c r="A139" s="154" t="s">
        <v>7735</v>
      </c>
      <c r="B139" s="224" t="s">
        <v>257</v>
      </c>
      <c r="C139" s="224" t="s">
        <v>7987</v>
      </c>
      <c r="D139" s="224"/>
      <c r="E139" s="223">
        <v>6</v>
      </c>
      <c r="F139" s="225">
        <v>47</v>
      </c>
      <c r="G139" s="223"/>
      <c r="I139" s="253">
        <v>41</v>
      </c>
      <c r="S139" s="218">
        <v>1975.102071</v>
      </c>
      <c r="T139" s="180"/>
      <c r="Y139" s="218">
        <v>732.06712049999999</v>
      </c>
      <c r="Z139" s="180"/>
      <c r="AA139" s="218">
        <v>89513.013330000002</v>
      </c>
      <c r="AB139" s="180"/>
      <c r="AC139" s="252">
        <v>39.167196439999998</v>
      </c>
      <c r="AD139" s="180"/>
      <c r="AG139" s="218">
        <v>4.3755868539999998</v>
      </c>
      <c r="AH139" s="180"/>
      <c r="AM139" s="218">
        <v>83</v>
      </c>
      <c r="BS139" s="218">
        <v>50.427455899999998</v>
      </c>
      <c r="BT139" s="180"/>
      <c r="BU139" s="218">
        <v>18.690822600000001</v>
      </c>
      <c r="BV139" s="180"/>
    </row>
    <row r="140" spans="1:74">
      <c r="A140" s="154" t="s">
        <v>7735</v>
      </c>
      <c r="B140" s="224" t="s">
        <v>257</v>
      </c>
      <c r="C140" s="224" t="s">
        <v>7988</v>
      </c>
      <c r="D140" s="224"/>
      <c r="E140" s="222">
        <v>11</v>
      </c>
      <c r="F140" s="225">
        <v>25</v>
      </c>
      <c r="G140" s="223"/>
      <c r="I140" s="253">
        <v>34</v>
      </c>
      <c r="S140" s="218">
        <v>1673.703675</v>
      </c>
      <c r="T140" s="180"/>
      <c r="Y140" s="218">
        <v>597.50923</v>
      </c>
      <c r="Z140" s="180"/>
      <c r="AA140" s="218">
        <v>74651.408739999999</v>
      </c>
      <c r="AB140" s="180"/>
      <c r="AC140" s="252">
        <v>32.866283430000003</v>
      </c>
      <c r="AD140" s="180"/>
      <c r="AG140" s="218">
        <v>4.402634055</v>
      </c>
      <c r="AH140" s="180"/>
      <c r="AM140" s="218">
        <v>83</v>
      </c>
      <c r="BS140" s="218">
        <v>50.924640699999998</v>
      </c>
      <c r="BT140" s="180"/>
      <c r="BU140" s="218">
        <v>18.180005999999999</v>
      </c>
      <c r="BV140" s="180"/>
    </row>
    <row r="141" spans="1:74">
      <c r="A141" s="154" t="s">
        <v>7735</v>
      </c>
      <c r="B141" s="224" t="s">
        <v>257</v>
      </c>
      <c r="C141" s="224" t="s">
        <v>7989</v>
      </c>
      <c r="D141" s="224"/>
      <c r="E141" s="222">
        <v>16</v>
      </c>
      <c r="F141" s="225">
        <v>54</v>
      </c>
      <c r="G141" s="223"/>
      <c r="I141" s="253">
        <v>36</v>
      </c>
      <c r="S141" s="218">
        <v>1634.5288599999999</v>
      </c>
      <c r="T141" s="180"/>
      <c r="Y141" s="218">
        <v>637.93142520000004</v>
      </c>
      <c r="Z141" s="180"/>
      <c r="AA141" s="218">
        <v>76089.379960000006</v>
      </c>
      <c r="AB141" s="180"/>
      <c r="AC141" s="252">
        <v>33.005188140000001</v>
      </c>
      <c r="AD141" s="180"/>
      <c r="AG141" s="218">
        <v>4.3376865670000004</v>
      </c>
      <c r="AH141" s="180"/>
      <c r="AM141" s="218">
        <v>87</v>
      </c>
      <c r="BS141" s="218">
        <v>49.523391699999998</v>
      </c>
      <c r="BT141" s="180"/>
      <c r="BU141" s="218">
        <v>19.328216600000001</v>
      </c>
      <c r="BV141" s="180"/>
    </row>
    <row r="142" spans="1:74">
      <c r="A142" s="154" t="s">
        <v>7735</v>
      </c>
      <c r="B142" s="224" t="s">
        <v>259</v>
      </c>
      <c r="C142" s="224" t="s">
        <v>405</v>
      </c>
      <c r="D142" s="224"/>
      <c r="E142" s="222">
        <v>1</v>
      </c>
      <c r="F142" s="225">
        <v>58</v>
      </c>
      <c r="G142" s="223"/>
      <c r="I142" s="253">
        <v>37</v>
      </c>
      <c r="S142" s="218">
        <v>1470.968159</v>
      </c>
      <c r="T142" s="180"/>
      <c r="Y142" s="218">
        <v>551.25940400000002</v>
      </c>
      <c r="Z142" s="180"/>
      <c r="AA142" s="218">
        <v>67497.864140000005</v>
      </c>
      <c r="AB142" s="180"/>
      <c r="AC142" s="252">
        <v>29.413912249999999</v>
      </c>
      <c r="AD142" s="180"/>
      <c r="AG142" s="218">
        <v>4.3577545200000003</v>
      </c>
      <c r="AH142" s="180"/>
      <c r="AM142" s="218">
        <v>83</v>
      </c>
      <c r="BS142" s="218">
        <v>50.009265900000003</v>
      </c>
      <c r="BT142" s="180"/>
      <c r="BU142" s="218">
        <v>18.741451300000001</v>
      </c>
      <c r="BV142" s="180"/>
    </row>
    <row r="143" spans="1:74">
      <c r="A143" s="154" t="s">
        <v>7735</v>
      </c>
      <c r="B143" s="224" t="s">
        <v>259</v>
      </c>
      <c r="C143" s="224" t="s">
        <v>7987</v>
      </c>
      <c r="D143" s="224"/>
      <c r="E143" s="222">
        <v>7</v>
      </c>
      <c r="F143" s="225">
        <v>11</v>
      </c>
      <c r="G143" s="223"/>
      <c r="I143" s="253">
        <v>32</v>
      </c>
      <c r="S143" s="218">
        <v>1722.8985259999999</v>
      </c>
      <c r="T143" s="180"/>
      <c r="Y143" s="218">
        <v>701.96984729999997</v>
      </c>
      <c r="Z143" s="180"/>
      <c r="AA143" s="218">
        <v>79765.012589999998</v>
      </c>
      <c r="AB143" s="180"/>
      <c r="AC143" s="252">
        <v>35.108634189999997</v>
      </c>
      <c r="AD143" s="180"/>
      <c r="AG143" s="218">
        <v>4.4015080109999998</v>
      </c>
      <c r="AH143" s="180"/>
      <c r="AM143" s="218">
        <v>83</v>
      </c>
      <c r="BS143" s="218">
        <v>49.073356599999997</v>
      </c>
      <c r="BT143" s="180"/>
      <c r="BU143" s="218">
        <v>19.994222600000001</v>
      </c>
      <c r="BV143" s="180"/>
    </row>
    <row r="144" spans="1:74">
      <c r="A144" s="154" t="s">
        <v>7735</v>
      </c>
      <c r="B144" s="224" t="s">
        <v>259</v>
      </c>
      <c r="C144" s="224" t="s">
        <v>7988</v>
      </c>
      <c r="D144" s="224"/>
      <c r="E144" s="223">
        <v>12</v>
      </c>
      <c r="F144" s="225">
        <v>34</v>
      </c>
      <c r="G144" s="223"/>
      <c r="I144" s="253">
        <v>36</v>
      </c>
      <c r="S144" s="218" t="s">
        <v>7956</v>
      </c>
      <c r="T144" s="180"/>
      <c r="Y144" s="218" t="s">
        <v>7956</v>
      </c>
      <c r="Z144" s="180"/>
      <c r="AA144" s="218" t="s">
        <v>7956</v>
      </c>
      <c r="AB144" s="180"/>
      <c r="AC144" s="252" t="s">
        <v>7956</v>
      </c>
      <c r="AD144" s="180"/>
      <c r="AG144" s="218">
        <v>4.8936170209999998</v>
      </c>
      <c r="AH144" s="180"/>
      <c r="AM144" s="218">
        <v>87</v>
      </c>
      <c r="BS144" s="218">
        <v>48.885101300000002</v>
      </c>
      <c r="BT144" s="180"/>
      <c r="BU144" s="218">
        <v>20.984533299999999</v>
      </c>
      <c r="BV144" s="180"/>
    </row>
    <row r="145" spans="1:74">
      <c r="A145" s="154" t="s">
        <v>7735</v>
      </c>
      <c r="B145" s="224" t="s">
        <v>259</v>
      </c>
      <c r="C145" s="224" t="s">
        <v>7989</v>
      </c>
      <c r="D145" s="224"/>
      <c r="E145" s="223">
        <v>13</v>
      </c>
      <c r="F145" s="225">
        <v>19</v>
      </c>
      <c r="G145" s="223"/>
      <c r="I145" s="253">
        <v>34</v>
      </c>
      <c r="S145" s="218">
        <v>1906.793629</v>
      </c>
      <c r="T145" s="180"/>
      <c r="Y145" s="218">
        <v>738.29329040000005</v>
      </c>
      <c r="Z145" s="180"/>
      <c r="AA145" s="218">
        <v>91421.547860000006</v>
      </c>
      <c r="AB145" s="180"/>
      <c r="AC145" s="252">
        <v>38.348802149999997</v>
      </c>
      <c r="AD145" s="180"/>
      <c r="AG145" s="218">
        <v>4.1947224749999998</v>
      </c>
      <c r="AH145" s="180"/>
      <c r="AM145" s="218">
        <v>81</v>
      </c>
      <c r="BS145" s="218">
        <v>49.722377799999997</v>
      </c>
      <c r="BT145" s="180"/>
      <c r="BU145" s="218">
        <v>19.252056100000001</v>
      </c>
      <c r="BV145" s="180"/>
    </row>
    <row r="146" spans="1:74">
      <c r="A146" s="154" t="s">
        <v>7736</v>
      </c>
      <c r="B146" s="224" t="s">
        <v>257</v>
      </c>
      <c r="C146" s="224" t="s">
        <v>405</v>
      </c>
      <c r="D146" s="224"/>
      <c r="E146" s="222">
        <v>3</v>
      </c>
      <c r="F146" s="225">
        <v>24</v>
      </c>
      <c r="G146" s="223"/>
      <c r="I146" s="253">
        <v>33</v>
      </c>
      <c r="S146" s="218">
        <v>1603.428594</v>
      </c>
      <c r="T146" s="180"/>
      <c r="Y146" s="218">
        <v>616.39219089999995</v>
      </c>
      <c r="Z146" s="180"/>
      <c r="AA146" s="218">
        <v>70759.841579999993</v>
      </c>
      <c r="AB146" s="180"/>
      <c r="AC146" s="252">
        <v>31.790653469999999</v>
      </c>
      <c r="AD146" s="180"/>
      <c r="AG146" s="218">
        <v>4.4927536229999996</v>
      </c>
      <c r="AH146" s="180"/>
      <c r="AM146" s="218">
        <v>94</v>
      </c>
      <c r="BS146" s="218">
        <v>50.437107099999999</v>
      </c>
      <c r="BT146" s="180"/>
      <c r="BU146" s="218">
        <v>19.389101</v>
      </c>
      <c r="BV146" s="180"/>
    </row>
    <row r="147" spans="1:74">
      <c r="A147" s="154" t="s">
        <v>7736</v>
      </c>
      <c r="B147" s="224" t="s">
        <v>257</v>
      </c>
      <c r="C147" s="224" t="s">
        <v>7987</v>
      </c>
      <c r="D147" s="224"/>
      <c r="E147" s="222">
        <v>8</v>
      </c>
      <c r="F147" s="225">
        <v>46</v>
      </c>
      <c r="G147" s="223"/>
      <c r="I147" s="253">
        <v>39</v>
      </c>
      <c r="S147" s="218">
        <v>1295.2344390000001</v>
      </c>
      <c r="T147" s="180"/>
      <c r="Y147" s="218">
        <v>505.0426569</v>
      </c>
      <c r="Z147" s="180"/>
      <c r="AA147" s="218">
        <v>58207.341699999997</v>
      </c>
      <c r="AB147" s="180"/>
      <c r="AC147" s="252">
        <v>25.692654600000001</v>
      </c>
      <c r="AD147" s="180"/>
      <c r="AG147" s="218">
        <v>4.4139886580000001</v>
      </c>
      <c r="AH147" s="180"/>
      <c r="AM147" s="218">
        <v>94</v>
      </c>
      <c r="BS147" s="218">
        <v>50.412635799999997</v>
      </c>
      <c r="BT147" s="180"/>
      <c r="BU147" s="218">
        <v>19.657083499999999</v>
      </c>
      <c r="BV147" s="180"/>
    </row>
    <row r="148" spans="1:74">
      <c r="A148" s="154" t="s">
        <v>7736</v>
      </c>
      <c r="B148" s="224" t="s">
        <v>257</v>
      </c>
      <c r="C148" s="224" t="s">
        <v>7988</v>
      </c>
      <c r="D148" s="224"/>
      <c r="E148" s="222">
        <v>11</v>
      </c>
      <c r="F148" s="225">
        <v>5</v>
      </c>
      <c r="G148" s="223"/>
      <c r="I148" s="253">
        <v>33</v>
      </c>
      <c r="S148" s="218">
        <v>1130.1508879999999</v>
      </c>
      <c r="T148" s="180"/>
      <c r="Y148" s="218">
        <v>451.02010230000002</v>
      </c>
      <c r="Z148" s="180"/>
      <c r="AA148" s="218">
        <v>51151.171759999997</v>
      </c>
      <c r="AB148" s="180"/>
      <c r="AC148" s="252">
        <v>22.62549447</v>
      </c>
      <c r="AD148" s="180"/>
      <c r="AG148" s="218">
        <v>4.4232602480000001</v>
      </c>
      <c r="AH148" s="180"/>
      <c r="AM148" s="218">
        <v>94</v>
      </c>
      <c r="BS148" s="218">
        <v>49.950328800000001</v>
      </c>
      <c r="BT148" s="180"/>
      <c r="BU148" s="218">
        <v>19.934154500000002</v>
      </c>
      <c r="BV148" s="180"/>
    </row>
    <row r="149" spans="1:74">
      <c r="A149" s="154" t="s">
        <v>7736</v>
      </c>
      <c r="B149" s="224" t="s">
        <v>257</v>
      </c>
      <c r="C149" s="224" t="s">
        <v>7989</v>
      </c>
      <c r="D149" s="224"/>
      <c r="E149" s="222">
        <v>15</v>
      </c>
      <c r="F149" s="225">
        <v>41</v>
      </c>
      <c r="G149" s="223"/>
      <c r="I149" s="253">
        <v>35</v>
      </c>
      <c r="S149" s="218">
        <v>1533.7059509999999</v>
      </c>
      <c r="T149" s="180"/>
      <c r="Y149" s="218">
        <v>577.21704260000001</v>
      </c>
      <c r="Z149" s="180"/>
      <c r="AA149" s="218">
        <v>68663.193150000006</v>
      </c>
      <c r="AB149" s="180"/>
      <c r="AC149" s="252">
        <v>30.422875900000001</v>
      </c>
      <c r="AD149" s="180"/>
      <c r="AG149" s="218">
        <v>4.4307400379999997</v>
      </c>
      <c r="AH149" s="180"/>
      <c r="AM149" s="218">
        <v>94</v>
      </c>
      <c r="BS149" s="218">
        <v>50.412918099999999</v>
      </c>
      <c r="BT149" s="180"/>
      <c r="BU149" s="218">
        <v>18.973125499999998</v>
      </c>
      <c r="BV149" s="180"/>
    </row>
    <row r="150" spans="1:74">
      <c r="A150" s="154" t="s">
        <v>7736</v>
      </c>
      <c r="B150" s="224" t="s">
        <v>259</v>
      </c>
      <c r="C150" s="224" t="s">
        <v>405</v>
      </c>
      <c r="D150" s="224"/>
      <c r="E150" s="223">
        <v>4</v>
      </c>
      <c r="F150" s="225">
        <v>33</v>
      </c>
      <c r="G150" s="223"/>
      <c r="I150" s="253">
        <v>39</v>
      </c>
      <c r="S150" s="218">
        <v>1467.922413</v>
      </c>
      <c r="T150" s="180"/>
      <c r="Y150" s="218">
        <v>649.73294069999997</v>
      </c>
      <c r="Z150" s="180"/>
      <c r="AA150" s="218">
        <v>69326.042289999998</v>
      </c>
      <c r="AB150" s="180"/>
      <c r="AC150" s="252">
        <v>30.330143499999998</v>
      </c>
      <c r="AD150" s="180"/>
      <c r="AG150" s="218">
        <v>4.375</v>
      </c>
      <c r="AH150" s="180"/>
      <c r="AM150" s="218">
        <v>99</v>
      </c>
      <c r="BS150" s="218">
        <v>48.398136100000002</v>
      </c>
      <c r="BT150" s="180"/>
      <c r="BU150" s="218">
        <v>21.42202</v>
      </c>
      <c r="BV150" s="180"/>
    </row>
    <row r="151" spans="1:74">
      <c r="A151" s="154" t="s">
        <v>7736</v>
      </c>
      <c r="B151" s="224" t="s">
        <v>259</v>
      </c>
      <c r="C151" s="224" t="s">
        <v>7987</v>
      </c>
      <c r="D151" s="224"/>
      <c r="E151" s="223">
        <v>8</v>
      </c>
      <c r="F151" s="225">
        <v>29</v>
      </c>
      <c r="G151" s="223"/>
      <c r="I151" s="253">
        <v>34</v>
      </c>
      <c r="S151" s="218">
        <v>1549.785212</v>
      </c>
      <c r="T151" s="180"/>
      <c r="Y151" s="218">
        <v>664.07644630000004</v>
      </c>
      <c r="Z151" s="180"/>
      <c r="AA151" s="218">
        <v>69819.861669999998</v>
      </c>
      <c r="AB151" s="180"/>
      <c r="AC151" s="252">
        <v>31.68695374</v>
      </c>
      <c r="AD151" s="180"/>
      <c r="AG151" s="218">
        <v>4.538386783</v>
      </c>
      <c r="AH151" s="180"/>
      <c r="AM151" s="218">
        <v>94</v>
      </c>
      <c r="BS151" s="218">
        <v>48.909252199999997</v>
      </c>
      <c r="BT151" s="180"/>
      <c r="BU151" s="218">
        <v>20.957408900000001</v>
      </c>
      <c r="BV151" s="180"/>
    </row>
    <row r="152" spans="1:74">
      <c r="A152" s="154" t="s">
        <v>7736</v>
      </c>
      <c r="B152" s="224" t="s">
        <v>259</v>
      </c>
      <c r="C152" s="224" t="s">
        <v>7988</v>
      </c>
      <c r="D152" s="224"/>
      <c r="E152" s="222">
        <v>12</v>
      </c>
      <c r="F152" s="225">
        <v>36</v>
      </c>
      <c r="G152" s="223"/>
      <c r="I152" s="253">
        <v>36</v>
      </c>
      <c r="S152" s="218">
        <v>1648.018523</v>
      </c>
      <c r="T152" s="180"/>
      <c r="Y152" s="218">
        <v>731.23078640000006</v>
      </c>
      <c r="Z152" s="180"/>
      <c r="AA152" s="218">
        <v>78191.122940000001</v>
      </c>
      <c r="AB152" s="180"/>
      <c r="AC152" s="252">
        <v>34.190034750000002</v>
      </c>
      <c r="AD152" s="180"/>
      <c r="AG152" s="218">
        <v>4.3726235740000003</v>
      </c>
      <c r="AH152" s="180"/>
      <c r="AM152" s="218">
        <v>92</v>
      </c>
      <c r="BS152" s="218">
        <v>48.201721200000001</v>
      </c>
      <c r="BT152" s="180"/>
      <c r="BU152" s="218">
        <v>21.387249000000001</v>
      </c>
      <c r="BV152" s="180"/>
    </row>
    <row r="153" spans="1:74">
      <c r="A153" s="154" t="s">
        <v>7736</v>
      </c>
      <c r="B153" s="224" t="s">
        <v>259</v>
      </c>
      <c r="C153" s="224" t="s">
        <v>7989</v>
      </c>
      <c r="D153" s="224"/>
      <c r="E153" s="222">
        <v>15</v>
      </c>
      <c r="F153" s="225">
        <v>4</v>
      </c>
      <c r="G153" s="223"/>
      <c r="I153" s="253">
        <v>31</v>
      </c>
      <c r="S153" s="218">
        <v>1428.0574630000001</v>
      </c>
      <c r="T153" s="180"/>
      <c r="Y153" s="218">
        <v>636.88037299999996</v>
      </c>
      <c r="Z153" s="180"/>
      <c r="AA153" s="218">
        <v>71204.43548</v>
      </c>
      <c r="AB153" s="180"/>
      <c r="AC153" s="252">
        <v>29.522204299999999</v>
      </c>
      <c r="AD153" s="180"/>
      <c r="AG153" s="218">
        <v>4.1461187209999997</v>
      </c>
      <c r="AH153" s="180"/>
      <c r="AM153" s="218">
        <v>94</v>
      </c>
      <c r="BS153" s="218">
        <v>48.372318300000003</v>
      </c>
      <c r="BT153" s="180"/>
      <c r="BU153" s="218">
        <v>21.572927499999999</v>
      </c>
      <c r="BV153" s="180"/>
    </row>
    <row r="154" spans="1:74">
      <c r="A154" s="154" t="s">
        <v>7859</v>
      </c>
      <c r="B154" s="224" t="s">
        <v>257</v>
      </c>
      <c r="C154" s="224" t="s">
        <v>405</v>
      </c>
      <c r="D154" s="224"/>
      <c r="E154" s="222">
        <v>2</v>
      </c>
      <c r="F154" s="225">
        <v>14</v>
      </c>
      <c r="G154" s="223"/>
      <c r="I154" s="253">
        <v>39</v>
      </c>
      <c r="S154" s="218">
        <v>1397.064396</v>
      </c>
      <c r="T154" s="180"/>
      <c r="Y154" s="218">
        <v>490.62691890000002</v>
      </c>
      <c r="Z154" s="180"/>
      <c r="AA154" s="218">
        <v>61410.365769999997</v>
      </c>
      <c r="AB154" s="180"/>
      <c r="AC154" s="252">
        <v>27.71995677</v>
      </c>
      <c r="AD154" s="180"/>
      <c r="AG154" s="218">
        <v>4.5138888890000004</v>
      </c>
      <c r="AH154" s="180"/>
      <c r="AM154" s="218">
        <v>89</v>
      </c>
      <c r="BS154" s="218">
        <v>50.399227099999997</v>
      </c>
      <c r="BT154" s="180"/>
      <c r="BU154" s="218">
        <v>17.699411399999999</v>
      </c>
      <c r="BV154" s="180"/>
    </row>
    <row r="155" spans="1:74">
      <c r="A155" s="154" t="s">
        <v>7859</v>
      </c>
      <c r="B155" s="224" t="s">
        <v>257</v>
      </c>
      <c r="C155" s="224" t="s">
        <v>7987</v>
      </c>
      <c r="D155" s="224"/>
      <c r="E155" s="222">
        <v>8</v>
      </c>
      <c r="F155" s="225">
        <v>34</v>
      </c>
      <c r="G155" s="223"/>
      <c r="I155" s="253">
        <v>42</v>
      </c>
      <c r="S155" s="218">
        <v>1407.0948719999999</v>
      </c>
      <c r="T155" s="180"/>
      <c r="Y155" s="218">
        <v>524.96605439999996</v>
      </c>
      <c r="Z155" s="180"/>
      <c r="AA155" s="218">
        <v>58982.904060000001</v>
      </c>
      <c r="AB155" s="180"/>
      <c r="AC155" s="252">
        <v>28.038074519999999</v>
      </c>
      <c r="AD155" s="180"/>
      <c r="AG155" s="218">
        <v>4.7535934290000004</v>
      </c>
      <c r="AH155" s="180"/>
      <c r="AM155" s="218">
        <v>87</v>
      </c>
      <c r="BS155" s="218">
        <v>50.1851463</v>
      </c>
      <c r="BT155" s="180"/>
      <c r="BU155" s="218">
        <v>18.723327600000001</v>
      </c>
      <c r="BV155" s="180"/>
    </row>
    <row r="156" spans="1:74">
      <c r="A156" s="154" t="s">
        <v>7859</v>
      </c>
      <c r="B156" s="224" t="s">
        <v>257</v>
      </c>
      <c r="C156" s="224" t="s">
        <v>7988</v>
      </c>
      <c r="D156" s="224"/>
      <c r="E156" s="222">
        <v>11</v>
      </c>
      <c r="F156" s="225">
        <v>19</v>
      </c>
      <c r="G156" s="223"/>
      <c r="I156" s="253">
        <v>38</v>
      </c>
      <c r="S156" s="218">
        <v>1726.0318830000001</v>
      </c>
      <c r="T156" s="180"/>
      <c r="Y156" s="218">
        <v>632.68311410000001</v>
      </c>
      <c r="Z156" s="180"/>
      <c r="AA156" s="218">
        <v>73761.060240000006</v>
      </c>
      <c r="AB156" s="180"/>
      <c r="AC156" s="252">
        <v>34.333226240000002</v>
      </c>
      <c r="AD156" s="180"/>
      <c r="AG156" s="218">
        <v>4.6546546549999999</v>
      </c>
      <c r="AH156" s="180"/>
      <c r="AM156" s="218">
        <v>87</v>
      </c>
      <c r="BS156" s="218">
        <v>50.272930100000004</v>
      </c>
      <c r="BT156" s="180"/>
      <c r="BU156" s="218">
        <v>18.427720999999998</v>
      </c>
      <c r="BV156" s="180"/>
    </row>
    <row r="157" spans="1:74">
      <c r="A157" s="154" t="s">
        <v>7859</v>
      </c>
      <c r="B157" s="224" t="s">
        <v>257</v>
      </c>
      <c r="C157" s="224" t="s">
        <v>7989</v>
      </c>
      <c r="D157" s="224"/>
      <c r="E157" s="223">
        <v>13</v>
      </c>
      <c r="F157" s="225">
        <v>51</v>
      </c>
      <c r="G157" s="223"/>
      <c r="I157" s="253">
        <v>34</v>
      </c>
      <c r="S157" s="218">
        <v>1902.3844879999999</v>
      </c>
      <c r="T157" s="180"/>
      <c r="Y157" s="218">
        <v>644.95266279999998</v>
      </c>
      <c r="Z157" s="180"/>
      <c r="AA157" s="218">
        <v>80328.440589999998</v>
      </c>
      <c r="AB157" s="180"/>
      <c r="AC157" s="252">
        <v>36.840015110000003</v>
      </c>
      <c r="AD157" s="180"/>
      <c r="AG157" s="218">
        <v>4.5861733200000003</v>
      </c>
      <c r="AH157" s="180"/>
      <c r="AM157" s="218">
        <v>89</v>
      </c>
      <c r="BS157" s="218">
        <v>51.63908</v>
      </c>
      <c r="BT157" s="180"/>
      <c r="BU157" s="218">
        <v>17.5068512</v>
      </c>
      <c r="BV157" s="180"/>
    </row>
    <row r="158" spans="1:74">
      <c r="A158" s="154" t="s">
        <v>7859</v>
      </c>
      <c r="B158" s="224" t="s">
        <v>259</v>
      </c>
      <c r="C158" s="224" t="s">
        <v>405</v>
      </c>
      <c r="D158" s="224"/>
      <c r="E158" s="222">
        <v>3</v>
      </c>
      <c r="F158" s="225">
        <v>33</v>
      </c>
      <c r="G158" s="223"/>
      <c r="I158" s="253">
        <v>45</v>
      </c>
      <c r="S158" s="218">
        <v>1516.6554140000001</v>
      </c>
      <c r="T158" s="180"/>
      <c r="Y158" s="218">
        <v>595.75654650000001</v>
      </c>
      <c r="Z158" s="180"/>
      <c r="AA158" s="218">
        <v>68003.25129</v>
      </c>
      <c r="AB158" s="180"/>
      <c r="AC158" s="252">
        <v>30.392884460000001</v>
      </c>
      <c r="AD158" s="180"/>
      <c r="AG158" s="218">
        <v>4.46932814</v>
      </c>
      <c r="AH158" s="180"/>
      <c r="AM158" s="218">
        <v>89</v>
      </c>
      <c r="BS158" s="218">
        <v>49.901660900000003</v>
      </c>
      <c r="BT158" s="180"/>
      <c r="BU158" s="218">
        <v>19.601842900000001</v>
      </c>
      <c r="BV158" s="180"/>
    </row>
    <row r="159" spans="1:74">
      <c r="A159" s="154" t="s">
        <v>7859</v>
      </c>
      <c r="B159" s="224" t="s">
        <v>259</v>
      </c>
      <c r="C159" s="224" t="s">
        <v>7987</v>
      </c>
      <c r="D159" s="224"/>
      <c r="E159" s="222">
        <v>8</v>
      </c>
      <c r="F159" s="225">
        <v>25</v>
      </c>
      <c r="G159" s="223"/>
      <c r="I159" s="253">
        <v>35</v>
      </c>
      <c r="S159" s="218">
        <v>1890.572054</v>
      </c>
      <c r="T159" s="180"/>
      <c r="Y159" s="218">
        <v>686.358206</v>
      </c>
      <c r="Z159" s="180"/>
      <c r="AA159" s="218">
        <v>76016.085330000002</v>
      </c>
      <c r="AB159" s="180"/>
      <c r="AC159" s="252">
        <v>37.25186171</v>
      </c>
      <c r="AD159" s="180"/>
      <c r="AG159" s="218">
        <v>4.9005235599999999</v>
      </c>
      <c r="AH159" s="180"/>
      <c r="AM159" s="218">
        <v>87</v>
      </c>
      <c r="BS159" s="218">
        <v>50.751075700000001</v>
      </c>
      <c r="BT159" s="180"/>
      <c r="BU159" s="218">
        <v>18.424802799999998</v>
      </c>
      <c r="BV159" s="180"/>
    </row>
    <row r="160" spans="1:74">
      <c r="A160" s="154" t="s">
        <v>7859</v>
      </c>
      <c r="B160" s="224" t="s">
        <v>259</v>
      </c>
      <c r="C160" s="224" t="s">
        <v>7988</v>
      </c>
      <c r="D160" s="224"/>
      <c r="E160" s="222">
        <v>10</v>
      </c>
      <c r="F160" s="225">
        <v>54</v>
      </c>
      <c r="G160" s="223"/>
      <c r="I160" s="253">
        <v>36</v>
      </c>
      <c r="S160" s="218">
        <v>1757.7527560000001</v>
      </c>
      <c r="T160" s="180"/>
      <c r="Y160" s="218">
        <v>600.40277479999997</v>
      </c>
      <c r="Z160" s="180"/>
      <c r="AA160" s="218">
        <v>71909.342189999996</v>
      </c>
      <c r="AB160" s="180"/>
      <c r="AC160" s="252">
        <v>33.754836650000001</v>
      </c>
      <c r="AD160" s="180"/>
      <c r="AG160" s="218">
        <v>4.6940822469999999</v>
      </c>
      <c r="AH160" s="180"/>
      <c r="AM160" s="218">
        <v>87</v>
      </c>
      <c r="BS160" s="218">
        <v>52.0741005</v>
      </c>
      <c r="BT160" s="180"/>
      <c r="BU160" s="218">
        <v>17.787162800000001</v>
      </c>
      <c r="BV160" s="180"/>
    </row>
    <row r="161" spans="1:74">
      <c r="A161" s="154" t="s">
        <v>7859</v>
      </c>
      <c r="B161" s="224" t="s">
        <v>259</v>
      </c>
      <c r="C161" s="224" t="s">
        <v>7989</v>
      </c>
      <c r="D161" s="224"/>
      <c r="E161" s="222">
        <v>13</v>
      </c>
      <c r="F161" s="225">
        <v>8</v>
      </c>
      <c r="G161" s="223"/>
      <c r="I161" s="253">
        <v>34</v>
      </c>
      <c r="S161" s="218">
        <v>1709.0238979999999</v>
      </c>
      <c r="T161" s="180"/>
      <c r="Y161" s="218">
        <v>671.79299890000004</v>
      </c>
      <c r="Z161" s="180"/>
      <c r="AA161" s="218">
        <v>74087.414340000003</v>
      </c>
      <c r="AB161" s="180"/>
      <c r="AC161" s="252">
        <v>34.485132800000002</v>
      </c>
      <c r="AD161" s="180"/>
      <c r="AG161" s="218">
        <v>4.6546546549999999</v>
      </c>
      <c r="AH161" s="180"/>
      <c r="AM161" s="218">
        <v>87</v>
      </c>
      <c r="BS161" s="218">
        <v>49.5582809</v>
      </c>
      <c r="BT161" s="180"/>
      <c r="BU161" s="218">
        <v>19.4806557</v>
      </c>
      <c r="BV161" s="180"/>
    </row>
    <row r="162" spans="1:74">
      <c r="A162" s="154" t="s">
        <v>7737</v>
      </c>
      <c r="B162" s="224" t="s">
        <v>257</v>
      </c>
      <c r="C162" s="224" t="s">
        <v>405</v>
      </c>
      <c r="D162" s="224"/>
      <c r="E162" s="223">
        <v>4</v>
      </c>
      <c r="F162" s="225">
        <v>2</v>
      </c>
      <c r="G162" s="223"/>
      <c r="I162" s="253">
        <v>36</v>
      </c>
      <c r="S162" s="218">
        <v>1241.6106159999999</v>
      </c>
      <c r="T162" s="180"/>
      <c r="Y162" s="218">
        <v>459.67812149999997</v>
      </c>
      <c r="Z162" s="180"/>
      <c r="AA162" s="218">
        <v>45458.54578</v>
      </c>
      <c r="AB162" s="180"/>
      <c r="AC162" s="252">
        <v>24.800398220000002</v>
      </c>
      <c r="AD162" s="180"/>
      <c r="AG162" s="218">
        <v>5.455607477</v>
      </c>
      <c r="AH162" s="180"/>
      <c r="AM162" s="218">
        <v>89</v>
      </c>
      <c r="BS162" s="218">
        <v>50.064140299999998</v>
      </c>
      <c r="BT162" s="180"/>
      <c r="BU162" s="218">
        <v>18.535110499999998</v>
      </c>
      <c r="BV162" s="180"/>
    </row>
    <row r="163" spans="1:74">
      <c r="A163" s="154" t="s">
        <v>7737</v>
      </c>
      <c r="B163" s="224" t="s">
        <v>257</v>
      </c>
      <c r="C163" s="224" t="s">
        <v>7987</v>
      </c>
      <c r="D163" s="224"/>
      <c r="E163" s="223">
        <v>7</v>
      </c>
      <c r="F163" s="225">
        <v>36</v>
      </c>
      <c r="G163" s="223"/>
      <c r="I163" s="253">
        <v>34</v>
      </c>
      <c r="S163" s="218">
        <v>1812.665573</v>
      </c>
      <c r="T163" s="180"/>
      <c r="Y163" s="218">
        <v>607.29870310000001</v>
      </c>
      <c r="Z163" s="180"/>
      <c r="AA163" s="218">
        <v>65875.353260000004</v>
      </c>
      <c r="AB163" s="180"/>
      <c r="AC163" s="252">
        <v>35.260449199999996</v>
      </c>
      <c r="AD163" s="180"/>
      <c r="AG163" s="218">
        <v>5.3526011560000004</v>
      </c>
      <c r="AH163" s="180"/>
      <c r="AM163" s="218">
        <v>92</v>
      </c>
      <c r="BS163" s="218">
        <v>51.407897900000002</v>
      </c>
      <c r="BT163" s="180"/>
      <c r="BU163" s="218">
        <v>17.223226499999999</v>
      </c>
      <c r="BV163" s="180"/>
    </row>
    <row r="164" spans="1:74">
      <c r="A164" s="154" t="s">
        <v>7737</v>
      </c>
      <c r="B164" s="224" t="s">
        <v>257</v>
      </c>
      <c r="C164" s="224" t="s">
        <v>7988</v>
      </c>
      <c r="D164" s="224"/>
      <c r="E164" s="222">
        <v>11</v>
      </c>
      <c r="F164" s="225">
        <v>27</v>
      </c>
      <c r="G164" s="223"/>
      <c r="I164" s="253">
        <v>32</v>
      </c>
      <c r="S164" s="218">
        <v>1798.316323</v>
      </c>
      <c r="T164" s="180"/>
      <c r="Y164" s="218">
        <v>627.85827200000006</v>
      </c>
      <c r="Z164" s="180"/>
      <c r="AA164" s="218">
        <v>65861.513590000002</v>
      </c>
      <c r="AB164" s="180"/>
      <c r="AC164" s="252">
        <v>35.623692509999998</v>
      </c>
      <c r="AD164" s="180"/>
      <c r="AG164" s="218">
        <v>5.4088785049999997</v>
      </c>
      <c r="AH164" s="180"/>
      <c r="AM164" s="218">
        <v>89</v>
      </c>
      <c r="BS164" s="218">
        <v>50.4809074</v>
      </c>
      <c r="BT164" s="180"/>
      <c r="BU164" s="218">
        <v>17.624738700000002</v>
      </c>
      <c r="BV164" s="180"/>
    </row>
    <row r="165" spans="1:74">
      <c r="A165" s="154" t="s">
        <v>7737</v>
      </c>
      <c r="B165" s="224" t="s">
        <v>257</v>
      </c>
      <c r="C165" s="224" t="s">
        <v>7989</v>
      </c>
      <c r="D165" s="224"/>
      <c r="E165" s="222">
        <v>13</v>
      </c>
      <c r="F165" s="225">
        <v>34</v>
      </c>
      <c r="G165" s="223"/>
      <c r="I165" s="253">
        <v>29</v>
      </c>
      <c r="S165" s="218">
        <v>1784.2267959999999</v>
      </c>
      <c r="T165" s="180"/>
      <c r="Y165" s="218">
        <v>610.61145980000003</v>
      </c>
      <c r="Z165" s="180"/>
      <c r="AA165" s="218">
        <v>66284.612580000001</v>
      </c>
      <c r="AB165" s="180"/>
      <c r="AC165" s="252">
        <v>35.33166138</v>
      </c>
      <c r="AD165" s="180"/>
      <c r="AG165" s="218">
        <v>5.3302961279999996</v>
      </c>
      <c r="AH165" s="180"/>
      <c r="AM165" s="218">
        <v>92</v>
      </c>
      <c r="BS165" s="218">
        <v>50.499374400000001</v>
      </c>
      <c r="BT165" s="180"/>
      <c r="BU165" s="218">
        <v>17.2822742</v>
      </c>
      <c r="BV165" s="180"/>
    </row>
    <row r="166" spans="1:74">
      <c r="A166" s="154" t="s">
        <v>7737</v>
      </c>
      <c r="B166" s="224" t="s">
        <v>259</v>
      </c>
      <c r="C166" s="224" t="s">
        <v>405</v>
      </c>
      <c r="D166" s="224"/>
      <c r="E166" s="222">
        <v>3</v>
      </c>
      <c r="F166" s="225">
        <v>40</v>
      </c>
      <c r="G166" s="223"/>
      <c r="I166" s="253">
        <v>30</v>
      </c>
      <c r="S166" s="218">
        <v>1871.3068189999999</v>
      </c>
      <c r="T166" s="180"/>
      <c r="Y166" s="218">
        <v>678.29892640000003</v>
      </c>
      <c r="Z166" s="180"/>
      <c r="AA166" s="218">
        <v>67656.666979999995</v>
      </c>
      <c r="AB166" s="180"/>
      <c r="AC166" s="252">
        <v>37.171368800000003</v>
      </c>
      <c r="AD166" s="180"/>
      <c r="AG166" s="218">
        <v>5.4941176470000004</v>
      </c>
      <c r="AH166" s="180"/>
      <c r="AM166" s="218">
        <v>89</v>
      </c>
      <c r="BS166" s="218">
        <v>50.342693300000001</v>
      </c>
      <c r="BT166" s="180"/>
      <c r="BU166" s="218">
        <v>18.247886699999999</v>
      </c>
      <c r="BV166" s="180"/>
    </row>
    <row r="167" spans="1:74">
      <c r="A167" s="154" t="s">
        <v>7737</v>
      </c>
      <c r="B167" s="224" t="s">
        <v>259</v>
      </c>
      <c r="C167" s="224" t="s">
        <v>7987</v>
      </c>
      <c r="D167" s="224"/>
      <c r="E167" s="222">
        <v>7</v>
      </c>
      <c r="F167" s="225">
        <v>30</v>
      </c>
      <c r="G167" s="223"/>
      <c r="I167" s="253">
        <v>31</v>
      </c>
      <c r="S167" s="218">
        <v>1839.8301389999999</v>
      </c>
      <c r="T167" s="180"/>
      <c r="Y167" s="218">
        <v>674.82200309999996</v>
      </c>
      <c r="Z167" s="180"/>
      <c r="AA167" s="218">
        <v>65965.607449999996</v>
      </c>
      <c r="AB167" s="180"/>
      <c r="AC167" s="252">
        <v>36.638823690000002</v>
      </c>
      <c r="AD167" s="180"/>
      <c r="AG167" s="218">
        <v>5.5542312279999999</v>
      </c>
      <c r="AH167" s="180"/>
      <c r="AM167" s="218">
        <v>89</v>
      </c>
      <c r="BS167" s="218">
        <v>50.215316799999997</v>
      </c>
      <c r="BT167" s="180"/>
      <c r="BU167" s="218">
        <v>18.418222400000001</v>
      </c>
      <c r="BV167" s="180"/>
    </row>
    <row r="168" spans="1:74">
      <c r="A168" s="154" t="s">
        <v>7737</v>
      </c>
      <c r="B168" s="224" t="s">
        <v>259</v>
      </c>
      <c r="C168" s="224" t="s">
        <v>7988</v>
      </c>
      <c r="D168" s="224"/>
      <c r="E168" s="223">
        <v>10</v>
      </c>
      <c r="F168" s="225">
        <v>41</v>
      </c>
      <c r="G168" s="223"/>
      <c r="I168" s="253">
        <v>39</v>
      </c>
      <c r="S168" s="218">
        <v>1386.7651229999999</v>
      </c>
      <c r="T168" s="180"/>
      <c r="Y168" s="218">
        <v>498.67596830000002</v>
      </c>
      <c r="Z168" s="180"/>
      <c r="AA168" s="218">
        <v>50697.721310000001</v>
      </c>
      <c r="AB168" s="180"/>
      <c r="AC168" s="252">
        <v>27.41994133</v>
      </c>
      <c r="AD168" s="180"/>
      <c r="AG168" s="218">
        <v>5.4085155350000003</v>
      </c>
      <c r="AH168" s="180"/>
      <c r="AM168" s="218">
        <v>89</v>
      </c>
      <c r="BS168" s="218">
        <v>50.575057999999999</v>
      </c>
      <c r="BT168" s="180"/>
      <c r="BU168" s="218">
        <v>18.186616900000001</v>
      </c>
      <c r="BV168" s="180"/>
    </row>
    <row r="169" spans="1:74">
      <c r="A169" s="154" t="s">
        <v>7737</v>
      </c>
      <c r="B169" s="224" t="s">
        <v>259</v>
      </c>
      <c r="C169" s="224" t="s">
        <v>7989</v>
      </c>
      <c r="D169" s="224"/>
      <c r="E169" s="223">
        <v>13</v>
      </c>
      <c r="F169" s="225">
        <v>9</v>
      </c>
      <c r="G169" s="223"/>
      <c r="I169" s="253">
        <v>32</v>
      </c>
      <c r="S169" s="218">
        <v>1948.9724000000001</v>
      </c>
      <c r="T169" s="180"/>
      <c r="Y169" s="218">
        <v>694.85385599999995</v>
      </c>
      <c r="Z169" s="180"/>
      <c r="AA169" s="218">
        <v>71701.884690000006</v>
      </c>
      <c r="AB169" s="180"/>
      <c r="AC169" s="252">
        <v>38.838520870000004</v>
      </c>
      <c r="AD169" s="180"/>
      <c r="AG169" s="218">
        <v>5.4166666670000003</v>
      </c>
      <c r="AH169" s="180"/>
      <c r="AM169" s="218">
        <v>89</v>
      </c>
      <c r="BS169" s="218">
        <v>50.181426999999999</v>
      </c>
      <c r="BT169" s="180"/>
      <c r="BU169" s="218">
        <v>17.8908424</v>
      </c>
      <c r="BV169" s="180"/>
    </row>
    <row r="170" spans="1:74">
      <c r="A170" s="154" t="s">
        <v>7845</v>
      </c>
      <c r="B170" s="224" t="s">
        <v>257</v>
      </c>
      <c r="C170" s="224" t="s">
        <v>405</v>
      </c>
      <c r="D170" s="224"/>
      <c r="E170" s="222">
        <v>1</v>
      </c>
      <c r="F170" s="225">
        <v>23</v>
      </c>
      <c r="G170" s="223"/>
      <c r="I170" s="253">
        <v>38</v>
      </c>
      <c r="S170" s="218">
        <v>1902.1373980000001</v>
      </c>
      <c r="T170" s="180"/>
      <c r="Y170" s="218">
        <v>628.73289020000004</v>
      </c>
      <c r="Z170" s="180"/>
      <c r="AA170" s="218">
        <v>75261.675610000006</v>
      </c>
      <c r="AB170" s="180"/>
      <c r="AC170" s="252">
        <v>36.872634290000001</v>
      </c>
      <c r="AD170" s="180"/>
      <c r="AG170" s="218">
        <v>4.8992576879999996</v>
      </c>
      <c r="AH170" s="180"/>
      <c r="AM170" s="218">
        <v>79</v>
      </c>
      <c r="BS170" s="218">
        <v>51.586696600000003</v>
      </c>
      <c r="BT170" s="180"/>
      <c r="BU170" s="218">
        <v>17.0514774</v>
      </c>
      <c r="BV170" s="180"/>
    </row>
    <row r="171" spans="1:74">
      <c r="A171" s="154" t="s">
        <v>7845</v>
      </c>
      <c r="B171" s="224" t="s">
        <v>257</v>
      </c>
      <c r="C171" s="224" t="s">
        <v>7987</v>
      </c>
      <c r="D171" s="224"/>
      <c r="E171" s="222">
        <v>7</v>
      </c>
      <c r="F171" s="225">
        <v>45</v>
      </c>
      <c r="G171" s="223"/>
      <c r="I171" s="253">
        <v>31</v>
      </c>
      <c r="S171" s="218">
        <v>1614.437901</v>
      </c>
      <c r="T171" s="180"/>
      <c r="Y171" s="218">
        <v>547.7970388</v>
      </c>
      <c r="Z171" s="180"/>
      <c r="AA171" s="218">
        <v>58451.93492</v>
      </c>
      <c r="AB171" s="180"/>
      <c r="AC171" s="252">
        <v>31.621538560000001</v>
      </c>
      <c r="AD171" s="180"/>
      <c r="AG171" s="218">
        <v>5.4098360660000004</v>
      </c>
      <c r="AH171" s="180"/>
      <c r="AM171" s="218">
        <v>81</v>
      </c>
      <c r="BS171" s="218">
        <v>51.0550079</v>
      </c>
      <c r="BT171" s="180"/>
      <c r="BU171" s="218">
        <v>17.323541599999999</v>
      </c>
      <c r="BV171" s="180"/>
    </row>
    <row r="172" spans="1:74">
      <c r="A172" s="154" t="s">
        <v>7845</v>
      </c>
      <c r="B172" s="224" t="s">
        <v>257</v>
      </c>
      <c r="C172" s="224" t="s">
        <v>7988</v>
      </c>
      <c r="D172" s="224"/>
      <c r="E172" s="222">
        <v>12</v>
      </c>
      <c r="F172" s="225">
        <v>6</v>
      </c>
      <c r="G172" s="223"/>
      <c r="I172" s="253">
        <v>33</v>
      </c>
      <c r="S172" s="218">
        <v>1555.7668739999999</v>
      </c>
      <c r="T172" s="180"/>
      <c r="Y172" s="218">
        <v>555.04663010000002</v>
      </c>
      <c r="Z172" s="180"/>
      <c r="AA172" s="218">
        <v>64142.051639999998</v>
      </c>
      <c r="AB172" s="180"/>
      <c r="AC172" s="252">
        <v>30.607203070000001</v>
      </c>
      <c r="AD172" s="180"/>
      <c r="AG172" s="218">
        <v>4.7717842319999999</v>
      </c>
      <c r="AH172" s="180"/>
      <c r="AM172" s="218">
        <v>83</v>
      </c>
      <c r="BS172" s="218">
        <v>50.830089600000001</v>
      </c>
      <c r="BT172" s="180"/>
      <c r="BU172" s="218">
        <v>18.134509999999999</v>
      </c>
      <c r="BV172" s="180"/>
    </row>
    <row r="173" spans="1:74">
      <c r="A173" s="154" t="s">
        <v>7845</v>
      </c>
      <c r="B173" s="224" t="s">
        <v>257</v>
      </c>
      <c r="C173" s="224" t="s">
        <v>7989</v>
      </c>
      <c r="D173" s="224"/>
      <c r="E173" s="222">
        <v>13</v>
      </c>
      <c r="F173" s="225">
        <v>58</v>
      </c>
      <c r="G173" s="223"/>
      <c r="I173" s="253">
        <v>36</v>
      </c>
      <c r="S173" s="218">
        <v>1713.178535</v>
      </c>
      <c r="T173" s="180"/>
      <c r="Y173" s="218">
        <v>580.77554910000003</v>
      </c>
      <c r="Z173" s="180"/>
      <c r="AA173" s="218">
        <v>69516.353449999995</v>
      </c>
      <c r="AB173" s="180"/>
      <c r="AC173" s="252">
        <v>33.092902199999997</v>
      </c>
      <c r="AD173" s="180"/>
      <c r="AG173" s="218">
        <v>4.7604485219999999</v>
      </c>
      <c r="AH173" s="180"/>
      <c r="AM173" s="218">
        <v>81</v>
      </c>
      <c r="BS173" s="218">
        <v>51.768760700000001</v>
      </c>
      <c r="BT173" s="180"/>
      <c r="BU173" s="218">
        <v>17.549852399999999</v>
      </c>
      <c r="BV173" s="180"/>
    </row>
    <row r="174" spans="1:74">
      <c r="A174" s="154" t="s">
        <v>7845</v>
      </c>
      <c r="B174" s="224" t="s">
        <v>259</v>
      </c>
      <c r="C174" s="224" t="s">
        <v>405</v>
      </c>
      <c r="D174" s="224"/>
      <c r="E174" s="223">
        <v>4</v>
      </c>
      <c r="F174" s="225">
        <v>50</v>
      </c>
      <c r="G174" s="223"/>
      <c r="I174" s="253">
        <v>31</v>
      </c>
      <c r="S174" s="218">
        <v>1974.804214</v>
      </c>
      <c r="T174" s="180"/>
      <c r="Y174" s="218">
        <v>778.80711099999996</v>
      </c>
      <c r="Z174" s="180"/>
      <c r="AA174" s="218">
        <v>78715.523319999993</v>
      </c>
      <c r="AB174" s="180"/>
      <c r="AC174" s="252">
        <v>39.484585809999999</v>
      </c>
      <c r="AD174" s="180"/>
      <c r="AG174" s="218">
        <v>5.0161117080000004</v>
      </c>
      <c r="AH174" s="180"/>
      <c r="AM174" s="218">
        <v>81</v>
      </c>
      <c r="BS174" s="218">
        <v>50.014560699999997</v>
      </c>
      <c r="BT174" s="180"/>
      <c r="BU174" s="218">
        <v>19.724332799999999</v>
      </c>
      <c r="BV174" s="180"/>
    </row>
    <row r="175" spans="1:74">
      <c r="A175" s="154" t="s">
        <v>7845</v>
      </c>
      <c r="B175" s="224" t="s">
        <v>259</v>
      </c>
      <c r="C175" s="224" t="s">
        <v>7987</v>
      </c>
      <c r="D175" s="224"/>
      <c r="E175" s="223">
        <v>6</v>
      </c>
      <c r="F175" s="225">
        <v>14</v>
      </c>
      <c r="G175" s="223"/>
      <c r="I175" s="253">
        <v>34</v>
      </c>
      <c r="S175" s="218" t="s">
        <v>7956</v>
      </c>
      <c r="T175" s="180"/>
      <c r="Y175" s="218" t="s">
        <v>7956</v>
      </c>
      <c r="Z175" s="180"/>
      <c r="AA175" s="218" t="s">
        <v>7956</v>
      </c>
      <c r="AB175" s="180"/>
      <c r="AC175" s="252" t="s">
        <v>7956</v>
      </c>
      <c r="AD175" s="180"/>
      <c r="AG175" s="218">
        <v>4.9406688240000003</v>
      </c>
      <c r="AH175" s="180"/>
      <c r="AM175" s="218">
        <v>83</v>
      </c>
      <c r="BS175" s="218">
        <v>50.451003999999998</v>
      </c>
      <c r="BT175" s="180"/>
      <c r="BU175" s="218">
        <v>18.671850200000002</v>
      </c>
      <c r="BV175" s="180"/>
    </row>
    <row r="176" spans="1:74">
      <c r="A176" s="154" t="s">
        <v>7845</v>
      </c>
      <c r="B176" s="224" t="s">
        <v>259</v>
      </c>
      <c r="C176" s="224" t="s">
        <v>7988</v>
      </c>
      <c r="D176" s="224"/>
      <c r="E176" s="222">
        <v>9</v>
      </c>
      <c r="F176" s="225">
        <v>51</v>
      </c>
      <c r="G176" s="223"/>
      <c r="I176" s="253">
        <v>41</v>
      </c>
      <c r="S176" s="218">
        <v>2179.9402669999999</v>
      </c>
      <c r="T176" s="180"/>
      <c r="Y176" s="218">
        <v>790.48514929999999</v>
      </c>
      <c r="Z176" s="180"/>
      <c r="AA176" s="218">
        <v>88150.19485</v>
      </c>
      <c r="AB176" s="180"/>
      <c r="AC176" s="252">
        <v>43.181365460000002</v>
      </c>
      <c r="AD176" s="180"/>
      <c r="AG176" s="218">
        <v>4.8986125930000002</v>
      </c>
      <c r="AH176" s="180"/>
      <c r="AM176" s="218">
        <v>83</v>
      </c>
      <c r="BS176" s="218">
        <v>50.483356499999999</v>
      </c>
      <c r="BT176" s="180"/>
      <c r="BU176" s="218">
        <v>18.3061638</v>
      </c>
      <c r="BV176" s="180"/>
    </row>
    <row r="177" spans="1:74">
      <c r="A177" s="154" t="s">
        <v>7845</v>
      </c>
      <c r="B177" s="224" t="s">
        <v>259</v>
      </c>
      <c r="C177" s="224" t="s">
        <v>7989</v>
      </c>
      <c r="D177" s="224"/>
      <c r="E177" s="222">
        <v>15</v>
      </c>
      <c r="F177" s="225">
        <v>3</v>
      </c>
      <c r="G177" s="223"/>
      <c r="I177" s="253">
        <v>36</v>
      </c>
      <c r="S177" s="218">
        <v>1809.26731</v>
      </c>
      <c r="T177" s="180"/>
      <c r="Y177" s="218">
        <v>688.51804749999997</v>
      </c>
      <c r="Z177" s="180"/>
      <c r="AA177" s="218">
        <v>78574.098960000003</v>
      </c>
      <c r="AB177" s="180"/>
      <c r="AC177" s="252">
        <v>36.469330769999999</v>
      </c>
      <c r="AD177" s="180"/>
      <c r="AG177" s="218">
        <v>4.6413934430000001</v>
      </c>
      <c r="AH177" s="180"/>
      <c r="AM177" s="218">
        <v>87</v>
      </c>
      <c r="BS177" s="218">
        <v>49.610652899999998</v>
      </c>
      <c r="BT177" s="180"/>
      <c r="BU177" s="218">
        <v>18.879371599999999</v>
      </c>
      <c r="BV177" s="180"/>
    </row>
    <row r="178" spans="1:74">
      <c r="A178" s="154" t="s">
        <v>7860</v>
      </c>
      <c r="B178" s="224" t="s">
        <v>257</v>
      </c>
      <c r="C178" s="224" t="s">
        <v>405</v>
      </c>
      <c r="D178" s="224"/>
      <c r="E178" s="222">
        <v>4</v>
      </c>
      <c r="F178" s="225">
        <v>19</v>
      </c>
      <c r="G178" s="223"/>
      <c r="I178" s="253">
        <v>31</v>
      </c>
      <c r="S178" s="218">
        <v>1737.89294</v>
      </c>
      <c r="T178" s="180"/>
      <c r="Y178" s="218">
        <v>666.76951480000002</v>
      </c>
      <c r="Z178" s="180"/>
      <c r="AA178" s="218">
        <v>72588.014809999993</v>
      </c>
      <c r="AB178" s="180"/>
      <c r="AC178" s="252">
        <v>35.203306670000003</v>
      </c>
      <c r="AD178" s="180"/>
      <c r="AG178" s="218">
        <v>4.8497409329999996</v>
      </c>
      <c r="AH178" s="180"/>
      <c r="AM178" s="218">
        <v>92</v>
      </c>
      <c r="BS178" s="218">
        <v>49.367320999999997</v>
      </c>
      <c r="BT178" s="180"/>
      <c r="BU178" s="218">
        <v>18.9405365</v>
      </c>
      <c r="BV178" s="180"/>
    </row>
    <row r="179" spans="1:74">
      <c r="A179" s="154" t="s">
        <v>7860</v>
      </c>
      <c r="B179" s="224" t="s">
        <v>257</v>
      </c>
      <c r="C179" s="224" t="s">
        <v>7987</v>
      </c>
      <c r="D179" s="224"/>
      <c r="E179" s="222">
        <v>6</v>
      </c>
      <c r="F179" s="225">
        <v>52</v>
      </c>
      <c r="G179" s="223"/>
      <c r="I179" s="253">
        <v>43</v>
      </c>
      <c r="S179" s="218">
        <v>1769.5142189999999</v>
      </c>
      <c r="T179" s="180"/>
      <c r="Y179" s="218">
        <v>680.11407389999999</v>
      </c>
      <c r="Z179" s="180"/>
      <c r="AA179" s="218">
        <v>74851.551649999994</v>
      </c>
      <c r="AB179" s="180"/>
      <c r="AC179" s="252">
        <v>35.698432320000002</v>
      </c>
      <c r="AD179" s="180"/>
      <c r="AG179" s="218">
        <v>4.769230769</v>
      </c>
      <c r="AH179" s="180"/>
      <c r="AM179" s="218">
        <v>92</v>
      </c>
      <c r="BS179" s="218">
        <v>49.568401299999998</v>
      </c>
      <c r="BT179" s="180"/>
      <c r="BU179" s="218">
        <v>19.051651</v>
      </c>
      <c r="BV179" s="180"/>
    </row>
    <row r="180" spans="1:74">
      <c r="A180" s="154" t="s">
        <v>7860</v>
      </c>
      <c r="B180" s="224" t="s">
        <v>257</v>
      </c>
      <c r="C180" s="224" t="s">
        <v>7988</v>
      </c>
      <c r="D180" s="224"/>
      <c r="E180" s="223">
        <v>12</v>
      </c>
      <c r="F180" s="225">
        <v>16</v>
      </c>
      <c r="G180" s="223"/>
      <c r="I180" s="253">
        <v>38</v>
      </c>
      <c r="S180" s="218">
        <v>1709.244289</v>
      </c>
      <c r="T180" s="180"/>
      <c r="Y180" s="218">
        <v>636.38626599999998</v>
      </c>
      <c r="Z180" s="180"/>
      <c r="AA180" s="218">
        <v>71423.916589999993</v>
      </c>
      <c r="AB180" s="180"/>
      <c r="AC180" s="252">
        <v>33.961737190000001</v>
      </c>
      <c r="AD180" s="180"/>
      <c r="AG180" s="218">
        <v>4.7549530759999996</v>
      </c>
      <c r="AH180" s="180"/>
      <c r="AM180" s="218">
        <v>89</v>
      </c>
      <c r="BS180" s="218">
        <v>50.328529400000001</v>
      </c>
      <c r="BT180" s="180"/>
      <c r="BU180" s="218">
        <v>18.7383308</v>
      </c>
      <c r="BV180" s="180"/>
    </row>
    <row r="181" spans="1:74">
      <c r="A181" s="154" t="s">
        <v>7860</v>
      </c>
      <c r="B181" s="224" t="s">
        <v>257</v>
      </c>
      <c r="C181" s="224" t="s">
        <v>7989</v>
      </c>
      <c r="D181" s="224"/>
      <c r="E181" s="223">
        <v>14</v>
      </c>
      <c r="F181" s="225">
        <v>64</v>
      </c>
      <c r="G181" s="223"/>
      <c r="I181" s="253">
        <v>37</v>
      </c>
      <c r="S181" s="218">
        <v>1539.1698610000001</v>
      </c>
      <c r="T181" s="180"/>
      <c r="Y181" s="218">
        <v>533.64289029999998</v>
      </c>
      <c r="Z181" s="180"/>
      <c r="AA181" s="218">
        <v>68851.482990000004</v>
      </c>
      <c r="AB181" s="180"/>
      <c r="AC181" s="252">
        <v>30.222598640000001</v>
      </c>
      <c r="AD181" s="180"/>
      <c r="AG181" s="218">
        <v>4.3895348839999997</v>
      </c>
      <c r="AH181" s="180"/>
      <c r="AM181" s="218">
        <v>92</v>
      </c>
      <c r="BS181" s="218">
        <v>50.927780200000001</v>
      </c>
      <c r="BT181" s="180"/>
      <c r="BU181" s="218">
        <v>17.657081600000001</v>
      </c>
      <c r="BV181" s="180"/>
    </row>
    <row r="182" spans="1:74">
      <c r="A182" s="154" t="s">
        <v>7860</v>
      </c>
      <c r="B182" s="224" t="s">
        <v>259</v>
      </c>
      <c r="C182" s="224" t="s">
        <v>405</v>
      </c>
      <c r="D182" s="224"/>
      <c r="E182" s="222">
        <v>1</v>
      </c>
      <c r="F182" s="225">
        <v>50</v>
      </c>
      <c r="G182" s="223"/>
      <c r="I182" s="253">
        <v>40</v>
      </c>
      <c r="S182" s="218">
        <v>1594.7737320000001</v>
      </c>
      <c r="T182" s="180"/>
      <c r="Y182" s="218">
        <v>588.23468219999995</v>
      </c>
      <c r="Z182" s="180"/>
      <c r="AA182" s="218">
        <v>68828.774380000003</v>
      </c>
      <c r="AB182" s="180"/>
      <c r="AC182" s="252">
        <v>32.33187556</v>
      </c>
      <c r="AD182" s="180"/>
      <c r="AG182" s="218">
        <v>4.6974358970000001</v>
      </c>
      <c r="AH182" s="180"/>
      <c r="AM182" s="218">
        <v>92</v>
      </c>
      <c r="BS182" s="218">
        <v>49.325122800000003</v>
      </c>
      <c r="BT182" s="180"/>
      <c r="BU182" s="218">
        <v>18.193645499999999</v>
      </c>
      <c r="BV182" s="180"/>
    </row>
    <row r="183" spans="1:74">
      <c r="A183" s="154" t="s">
        <v>7860</v>
      </c>
      <c r="B183" s="224" t="s">
        <v>259</v>
      </c>
      <c r="C183" s="224" t="s">
        <v>7987</v>
      </c>
      <c r="D183" s="224"/>
      <c r="E183" s="222">
        <v>7</v>
      </c>
      <c r="F183" s="225">
        <v>24</v>
      </c>
      <c r="G183" s="223"/>
      <c r="I183" s="253">
        <v>37</v>
      </c>
      <c r="S183" s="218">
        <v>1818.198862</v>
      </c>
      <c r="T183" s="180"/>
      <c r="Y183" s="218">
        <v>672.67238459999999</v>
      </c>
      <c r="Z183" s="180"/>
      <c r="AA183" s="218">
        <v>72210.419699999999</v>
      </c>
      <c r="AB183" s="180"/>
      <c r="AC183" s="252">
        <v>36.143825049999997</v>
      </c>
      <c r="AD183" s="180"/>
      <c r="AG183" s="218">
        <v>5.0053475939999998</v>
      </c>
      <c r="AH183" s="180"/>
      <c r="AM183" s="218">
        <v>92</v>
      </c>
      <c r="BS183" s="218">
        <v>50.304550200000001</v>
      </c>
      <c r="BT183" s="180"/>
      <c r="BU183" s="218">
        <v>18.6109905</v>
      </c>
      <c r="BV183" s="180"/>
    </row>
    <row r="184" spans="1:74">
      <c r="A184" s="154" t="s">
        <v>7860</v>
      </c>
      <c r="B184" s="224" t="s">
        <v>259</v>
      </c>
      <c r="C184" s="224" t="s">
        <v>7988</v>
      </c>
      <c r="D184" s="224"/>
      <c r="E184" s="222">
        <v>12</v>
      </c>
      <c r="F184" s="225">
        <v>42</v>
      </c>
      <c r="G184" s="223"/>
      <c r="I184" s="253">
        <v>36</v>
      </c>
      <c r="S184" s="218">
        <v>2011.6621299999999</v>
      </c>
      <c r="T184" s="180"/>
      <c r="Y184" s="218">
        <v>841.15692130000002</v>
      </c>
      <c r="Z184" s="180"/>
      <c r="AA184" s="218">
        <v>87768.630229999995</v>
      </c>
      <c r="AB184" s="180"/>
      <c r="AC184" s="252">
        <v>42.023656459999998</v>
      </c>
      <c r="AD184" s="180"/>
      <c r="AG184" s="218">
        <v>4.7880041369999997</v>
      </c>
      <c r="AH184" s="180"/>
      <c r="AM184" s="218">
        <v>92</v>
      </c>
      <c r="BS184" s="218">
        <v>47.869754800000003</v>
      </c>
      <c r="BT184" s="180"/>
      <c r="BU184" s="218">
        <v>20.0162716</v>
      </c>
      <c r="BV184" s="180"/>
    </row>
    <row r="185" spans="1:74">
      <c r="A185" s="154" t="s">
        <v>7860</v>
      </c>
      <c r="B185" s="224" t="s">
        <v>259</v>
      </c>
      <c r="C185" s="224" t="s">
        <v>7989</v>
      </c>
      <c r="D185" s="224"/>
      <c r="E185" s="222">
        <v>14</v>
      </c>
      <c r="F185" s="225">
        <v>28</v>
      </c>
      <c r="G185" s="223"/>
      <c r="I185" s="253">
        <v>34</v>
      </c>
      <c r="S185" s="218">
        <v>2103.1261909999998</v>
      </c>
      <c r="T185" s="180"/>
      <c r="Y185" s="218">
        <v>819.29630929999996</v>
      </c>
      <c r="Z185" s="180"/>
      <c r="AA185" s="218">
        <v>86761.854389999993</v>
      </c>
      <c r="AB185" s="180"/>
      <c r="AC185" s="252">
        <v>42.333958330000002</v>
      </c>
      <c r="AD185" s="180"/>
      <c r="AG185" s="218">
        <v>4.8793284369999999</v>
      </c>
      <c r="AH185" s="180"/>
      <c r="AM185" s="218">
        <v>92</v>
      </c>
      <c r="BS185" s="218">
        <v>49.679412800000001</v>
      </c>
      <c r="BT185" s="180"/>
      <c r="BU185" s="218">
        <v>19.3531704</v>
      </c>
      <c r="BV185" s="180"/>
    </row>
    <row r="186" spans="1:74">
      <c r="A186" s="154" t="s">
        <v>7738</v>
      </c>
      <c r="B186" s="224" t="s">
        <v>257</v>
      </c>
      <c r="C186" s="224" t="s">
        <v>405</v>
      </c>
      <c r="D186" s="224"/>
      <c r="E186" s="223">
        <v>4</v>
      </c>
      <c r="F186" s="225">
        <v>17</v>
      </c>
      <c r="G186" s="223"/>
      <c r="I186" s="253">
        <v>27</v>
      </c>
      <c r="S186" s="218">
        <v>1639.390263</v>
      </c>
      <c r="T186" s="180"/>
      <c r="Y186" s="218">
        <v>637.57029139999997</v>
      </c>
      <c r="Z186" s="180"/>
      <c r="AA186" s="218">
        <v>62453.257039999997</v>
      </c>
      <c r="AB186" s="180"/>
      <c r="AC186" s="252">
        <v>33.063489019999999</v>
      </c>
      <c r="AD186" s="180"/>
      <c r="AG186" s="218">
        <v>5.2941176470000002</v>
      </c>
      <c r="AH186" s="180"/>
      <c r="AM186" s="218">
        <v>87</v>
      </c>
      <c r="BS186" s="218">
        <v>49.583099400000002</v>
      </c>
      <c r="BT186" s="180"/>
      <c r="BU186" s="218">
        <v>19.2832127</v>
      </c>
      <c r="BV186" s="180"/>
    </row>
    <row r="187" spans="1:74">
      <c r="A187" s="154" t="s">
        <v>7738</v>
      </c>
      <c r="B187" s="224" t="s">
        <v>257</v>
      </c>
      <c r="C187" s="224" t="s">
        <v>7987</v>
      </c>
      <c r="D187" s="224"/>
      <c r="E187" s="223">
        <v>6</v>
      </c>
      <c r="F187" s="225">
        <v>59</v>
      </c>
      <c r="G187" s="223"/>
      <c r="I187" s="253">
        <v>32</v>
      </c>
      <c r="S187" s="218">
        <v>1404.7241100000001</v>
      </c>
      <c r="T187" s="180"/>
      <c r="Y187" s="218">
        <v>552.81865400000004</v>
      </c>
      <c r="Z187" s="180"/>
      <c r="AA187" s="218">
        <v>54227.986470000003</v>
      </c>
      <c r="AB187" s="180"/>
      <c r="AC187" s="252">
        <v>28.502081629999999</v>
      </c>
      <c r="AD187" s="180"/>
      <c r="AG187" s="218">
        <v>5.2559726959999997</v>
      </c>
      <c r="AH187" s="180"/>
      <c r="AM187" s="218">
        <v>87</v>
      </c>
      <c r="BS187" s="218">
        <v>49.284965499999998</v>
      </c>
      <c r="BT187" s="180"/>
      <c r="BU187" s="218">
        <v>19.3957291</v>
      </c>
      <c r="BV187" s="180"/>
    </row>
    <row r="188" spans="1:74">
      <c r="A188" s="154" t="s">
        <v>7738</v>
      </c>
      <c r="B188" s="224" t="s">
        <v>257</v>
      </c>
      <c r="C188" s="224" t="s">
        <v>7988</v>
      </c>
      <c r="D188" s="224"/>
      <c r="E188" s="222">
        <v>12</v>
      </c>
      <c r="F188" s="225">
        <v>26</v>
      </c>
      <c r="G188" s="223"/>
      <c r="I188" s="253">
        <v>34</v>
      </c>
      <c r="S188" s="218">
        <v>1543.1252569999999</v>
      </c>
      <c r="T188" s="180"/>
      <c r="Y188" s="218">
        <v>586.1383677</v>
      </c>
      <c r="Z188" s="180"/>
      <c r="AA188" s="218">
        <v>62582.095809999999</v>
      </c>
      <c r="AB188" s="180"/>
      <c r="AC188" s="252">
        <v>31.326166929999999</v>
      </c>
      <c r="AD188" s="180"/>
      <c r="AG188" s="218">
        <v>5.0056116719999997</v>
      </c>
      <c r="AH188" s="180"/>
      <c r="AM188" s="218">
        <v>87</v>
      </c>
      <c r="BS188" s="218">
        <v>49.259944900000001</v>
      </c>
      <c r="BT188" s="180"/>
      <c r="BU188" s="218">
        <v>18.710823099999999</v>
      </c>
      <c r="BV188" s="180"/>
    </row>
    <row r="189" spans="1:74">
      <c r="A189" s="154" t="s">
        <v>7738</v>
      </c>
      <c r="B189" s="224" t="s">
        <v>257</v>
      </c>
      <c r="C189" s="224" t="s">
        <v>7989</v>
      </c>
      <c r="D189" s="224"/>
      <c r="E189" s="222">
        <v>15</v>
      </c>
      <c r="F189" s="225">
        <v>40</v>
      </c>
      <c r="G189" s="223"/>
      <c r="I189" s="253">
        <v>34</v>
      </c>
      <c r="S189" s="218">
        <v>840.66606049999996</v>
      </c>
      <c r="T189" s="180"/>
      <c r="Y189" s="218">
        <v>314.2588063</v>
      </c>
      <c r="Z189" s="180"/>
      <c r="AA189" s="218">
        <v>32241.899069999999</v>
      </c>
      <c r="AB189" s="180"/>
      <c r="AC189" s="252">
        <v>16.66952191</v>
      </c>
      <c r="AD189" s="180"/>
      <c r="AG189" s="218">
        <v>5.1701427000000004</v>
      </c>
      <c r="AH189" s="180"/>
      <c r="AM189" s="218">
        <v>87</v>
      </c>
      <c r="BS189" s="218">
        <v>50.431323999999996</v>
      </c>
      <c r="BT189" s="180"/>
      <c r="BU189" s="218">
        <v>18.852298699999999</v>
      </c>
      <c r="BV189" s="180"/>
    </row>
    <row r="190" spans="1:74">
      <c r="A190" s="154" t="s">
        <v>7738</v>
      </c>
      <c r="B190" s="224" t="s">
        <v>259</v>
      </c>
      <c r="C190" s="224" t="s">
        <v>405</v>
      </c>
      <c r="D190" s="224"/>
      <c r="E190" s="222">
        <v>2</v>
      </c>
      <c r="F190" s="225">
        <v>63</v>
      </c>
      <c r="G190" s="223"/>
      <c r="I190" s="253">
        <v>39</v>
      </c>
      <c r="S190" s="218">
        <v>1670.2235439999999</v>
      </c>
      <c r="T190" s="180"/>
      <c r="Y190" s="218">
        <v>654.24020910000002</v>
      </c>
      <c r="Z190" s="180"/>
      <c r="AA190" s="218">
        <v>66285.818669999993</v>
      </c>
      <c r="AB190" s="180"/>
      <c r="AC190" s="252">
        <v>34.060487109999997</v>
      </c>
      <c r="AD190" s="180"/>
      <c r="AG190" s="218">
        <v>5.1384274640000003</v>
      </c>
      <c r="AH190" s="180"/>
      <c r="AM190" s="218">
        <v>87</v>
      </c>
      <c r="BS190" s="218">
        <v>49.036983499999998</v>
      </c>
      <c r="BT190" s="180"/>
      <c r="BU190" s="218">
        <v>19.2081871</v>
      </c>
      <c r="BV190" s="180"/>
    </row>
    <row r="191" spans="1:74">
      <c r="A191" s="154" t="s">
        <v>7738</v>
      </c>
      <c r="B191" s="224" t="s">
        <v>259</v>
      </c>
      <c r="C191" s="224" t="s">
        <v>7987</v>
      </c>
      <c r="D191" s="224"/>
      <c r="E191" s="222">
        <v>7</v>
      </c>
      <c r="F191" s="225">
        <v>15</v>
      </c>
      <c r="G191" s="223"/>
      <c r="I191" s="253">
        <v>28</v>
      </c>
      <c r="S191" s="218">
        <v>1682.9646789999999</v>
      </c>
      <c r="T191" s="180"/>
      <c r="Y191" s="218">
        <v>656.53301180000005</v>
      </c>
      <c r="Z191" s="180"/>
      <c r="AA191" s="218">
        <v>66786.047330000001</v>
      </c>
      <c r="AB191" s="180"/>
      <c r="AC191" s="252">
        <v>33.815720159999998</v>
      </c>
      <c r="AD191" s="180"/>
      <c r="AG191" s="218">
        <v>5.0632911390000004</v>
      </c>
      <c r="AH191" s="180"/>
      <c r="AM191" s="218">
        <v>87</v>
      </c>
      <c r="BS191" s="218">
        <v>49.768707300000003</v>
      </c>
      <c r="BT191" s="180"/>
      <c r="BU191" s="218">
        <v>19.4150238</v>
      </c>
      <c r="BV191" s="180"/>
    </row>
    <row r="192" spans="1:74">
      <c r="A192" s="154" t="s">
        <v>7738</v>
      </c>
      <c r="B192" s="224" t="s">
        <v>259</v>
      </c>
      <c r="C192" s="224" t="s">
        <v>7988</v>
      </c>
      <c r="D192" s="224"/>
      <c r="E192" s="223">
        <v>9</v>
      </c>
      <c r="F192" s="225">
        <v>35</v>
      </c>
      <c r="G192" s="223"/>
      <c r="I192" s="253">
        <v>36</v>
      </c>
      <c r="S192" s="218">
        <v>1677.10779</v>
      </c>
      <c r="T192" s="180"/>
      <c r="Y192" s="218">
        <v>657.30300680000005</v>
      </c>
      <c r="Z192" s="180"/>
      <c r="AA192" s="218">
        <v>65630.157460000002</v>
      </c>
      <c r="AB192" s="180"/>
      <c r="AC192" s="252">
        <v>33.731701039999997</v>
      </c>
      <c r="AD192" s="180"/>
      <c r="AG192" s="218">
        <v>5.1396648039999997</v>
      </c>
      <c r="AH192" s="180"/>
      <c r="AM192" s="218">
        <v>89</v>
      </c>
      <c r="BS192" s="218">
        <v>49.719039899999999</v>
      </c>
      <c r="BT192" s="180"/>
      <c r="BU192" s="218">
        <v>19.486209899999999</v>
      </c>
      <c r="BV192" s="180"/>
    </row>
    <row r="193" spans="1:74">
      <c r="A193" s="154" t="s">
        <v>7738</v>
      </c>
      <c r="B193" s="224" t="s">
        <v>259</v>
      </c>
      <c r="C193" s="224" t="s">
        <v>7989</v>
      </c>
      <c r="D193" s="224"/>
      <c r="E193" s="223">
        <v>15</v>
      </c>
      <c r="F193" s="225">
        <v>24</v>
      </c>
      <c r="G193" s="223"/>
      <c r="I193" s="253">
        <v>36</v>
      </c>
      <c r="S193" s="218">
        <v>1908.8152789999999</v>
      </c>
      <c r="T193" s="180"/>
      <c r="Y193" s="218">
        <v>804.93879130000005</v>
      </c>
      <c r="Z193" s="180"/>
      <c r="AA193" s="218">
        <v>79162.125910000002</v>
      </c>
      <c r="AB193" s="180"/>
      <c r="AC193" s="252">
        <v>39.16088182</v>
      </c>
      <c r="AD193" s="180"/>
      <c r="AG193" s="218">
        <v>4.946921444</v>
      </c>
      <c r="AH193" s="180"/>
      <c r="AM193" s="218">
        <v>89</v>
      </c>
      <c r="BS193" s="218">
        <v>48.742908499999999</v>
      </c>
      <c r="BT193" s="180"/>
      <c r="BU193" s="218">
        <v>20.554664599999999</v>
      </c>
      <c r="BV193" s="180"/>
    </row>
    <row r="194" spans="1:74">
      <c r="A194" s="154" t="s">
        <v>7739</v>
      </c>
      <c r="B194" s="224" t="s">
        <v>257</v>
      </c>
      <c r="C194" s="224" t="s">
        <v>405</v>
      </c>
      <c r="D194" s="224"/>
      <c r="E194" s="222">
        <v>1</v>
      </c>
      <c r="F194" s="225">
        <v>22</v>
      </c>
      <c r="G194" s="223"/>
      <c r="I194" s="253">
        <v>39</v>
      </c>
      <c r="S194" s="218">
        <v>1134.2583979999999</v>
      </c>
      <c r="T194" s="180"/>
      <c r="Y194" s="218">
        <v>405.7982437</v>
      </c>
      <c r="Z194" s="180"/>
      <c r="AA194" s="218">
        <v>48307.792159999997</v>
      </c>
      <c r="AB194" s="180"/>
      <c r="AC194" s="252">
        <v>22.465325839999998</v>
      </c>
      <c r="AD194" s="180"/>
      <c r="AG194" s="218">
        <v>4.6504559270000003</v>
      </c>
      <c r="AH194" s="180"/>
      <c r="AM194" s="218">
        <v>92</v>
      </c>
      <c r="BS194" s="218">
        <v>50.4892921</v>
      </c>
      <c r="BT194" s="180"/>
      <c r="BU194" s="218">
        <v>18.063314399999999</v>
      </c>
      <c r="BV194" s="180"/>
    </row>
    <row r="195" spans="1:74">
      <c r="A195" s="154" t="s">
        <v>7739</v>
      </c>
      <c r="B195" s="224" t="s">
        <v>257</v>
      </c>
      <c r="C195" s="224" t="s">
        <v>7987</v>
      </c>
      <c r="D195" s="224"/>
      <c r="E195" s="222">
        <v>6</v>
      </c>
      <c r="F195" s="225">
        <v>38</v>
      </c>
      <c r="G195" s="223"/>
      <c r="I195" s="253">
        <v>43</v>
      </c>
      <c r="S195" s="218">
        <v>1696.604372</v>
      </c>
      <c r="T195" s="180"/>
      <c r="Y195" s="218">
        <v>632.07627130000003</v>
      </c>
      <c r="Z195" s="180"/>
      <c r="AA195" s="218">
        <v>71747.159390000001</v>
      </c>
      <c r="AB195" s="180"/>
      <c r="AC195" s="252">
        <v>33.88662412</v>
      </c>
      <c r="AD195" s="180"/>
      <c r="AG195" s="218">
        <v>4.7230614299999996</v>
      </c>
      <c r="AH195" s="180"/>
      <c r="AM195" s="218">
        <v>92</v>
      </c>
      <c r="BS195" s="218">
        <v>50.0670815</v>
      </c>
      <c r="BT195" s="180"/>
      <c r="BU195" s="218">
        <v>18.652677499999999</v>
      </c>
      <c r="BV195" s="180"/>
    </row>
    <row r="196" spans="1:74">
      <c r="A196" s="154" t="s">
        <v>7739</v>
      </c>
      <c r="B196" s="224" t="s">
        <v>257</v>
      </c>
      <c r="C196" s="224" t="s">
        <v>7988</v>
      </c>
      <c r="D196" s="224"/>
      <c r="E196" s="222">
        <v>11</v>
      </c>
      <c r="F196" s="225">
        <v>29</v>
      </c>
      <c r="G196" s="223"/>
      <c r="I196" s="253">
        <v>39</v>
      </c>
      <c r="S196" s="218">
        <v>1455.7905020000001</v>
      </c>
      <c r="T196" s="180"/>
      <c r="Y196" s="218">
        <v>532.50444100000004</v>
      </c>
      <c r="Z196" s="180"/>
      <c r="AA196" s="218">
        <v>62600.419690000002</v>
      </c>
      <c r="AB196" s="180"/>
      <c r="AC196" s="252">
        <v>29.230256090000001</v>
      </c>
      <c r="AD196" s="180"/>
      <c r="AG196" s="218">
        <v>4.6693386769999998</v>
      </c>
      <c r="AH196" s="180"/>
      <c r="AM196" s="218">
        <v>89</v>
      </c>
      <c r="BS196" s="218">
        <v>49.804233600000003</v>
      </c>
      <c r="BT196" s="180"/>
      <c r="BU196" s="218">
        <v>18.217576999999999</v>
      </c>
      <c r="BV196" s="180"/>
    </row>
    <row r="197" spans="1:74">
      <c r="A197" s="154" t="s">
        <v>7739</v>
      </c>
      <c r="B197" s="224" t="s">
        <v>257</v>
      </c>
      <c r="C197" s="224" t="s">
        <v>7989</v>
      </c>
      <c r="D197" s="224"/>
      <c r="E197" s="222">
        <v>16</v>
      </c>
      <c r="F197" s="225">
        <v>58</v>
      </c>
      <c r="G197" s="223"/>
      <c r="I197" s="253">
        <v>24</v>
      </c>
      <c r="S197" s="218">
        <v>1337.016265</v>
      </c>
      <c r="T197" s="180"/>
      <c r="Y197" s="218">
        <v>483.13931609999997</v>
      </c>
      <c r="Z197" s="180"/>
      <c r="AA197" s="218">
        <v>57496.075400000002</v>
      </c>
      <c r="AB197" s="180"/>
      <c r="AC197" s="252">
        <v>26.35471429</v>
      </c>
      <c r="AD197" s="180"/>
      <c r="AG197" s="218">
        <v>4.5837414299999999</v>
      </c>
      <c r="AH197" s="180"/>
      <c r="AM197" s="218">
        <v>89</v>
      </c>
      <c r="BS197" s="218">
        <v>50.731578800000001</v>
      </c>
      <c r="BT197" s="180"/>
      <c r="BU197" s="218">
        <v>18.3321781</v>
      </c>
      <c r="BV197" s="180"/>
    </row>
    <row r="198" spans="1:74">
      <c r="A198" s="154" t="s">
        <v>7739</v>
      </c>
      <c r="B198" s="224" t="s">
        <v>259</v>
      </c>
      <c r="C198" s="224" t="s">
        <v>405</v>
      </c>
      <c r="D198" s="224"/>
      <c r="E198" s="223">
        <v>3</v>
      </c>
      <c r="F198" s="225">
        <v>59</v>
      </c>
      <c r="G198" s="223"/>
      <c r="I198" s="253">
        <v>35</v>
      </c>
      <c r="S198" s="218" t="s">
        <v>7956</v>
      </c>
      <c r="T198" s="180"/>
      <c r="Y198" s="218" t="s">
        <v>7956</v>
      </c>
      <c r="Z198" s="180"/>
      <c r="AA198" s="218" t="s">
        <v>7956</v>
      </c>
      <c r="AB198" s="180"/>
      <c r="AC198" s="252" t="s">
        <v>7956</v>
      </c>
      <c r="AD198" s="180"/>
      <c r="AG198" s="218">
        <v>4.7507629700000003</v>
      </c>
      <c r="AH198" s="180"/>
      <c r="AM198" s="218">
        <v>92</v>
      </c>
      <c r="BS198" s="218">
        <v>50.185344700000002</v>
      </c>
      <c r="BT198" s="180"/>
      <c r="BU198" s="218">
        <v>18.0490055</v>
      </c>
      <c r="BV198" s="180"/>
    </row>
    <row r="199" spans="1:74">
      <c r="A199" s="154" t="s">
        <v>7739</v>
      </c>
      <c r="B199" s="224" t="s">
        <v>259</v>
      </c>
      <c r="C199" s="224" t="s">
        <v>7987</v>
      </c>
      <c r="D199" s="224"/>
      <c r="E199" s="223">
        <v>5</v>
      </c>
      <c r="F199" s="225">
        <v>31</v>
      </c>
      <c r="G199" s="223"/>
      <c r="I199" s="253">
        <v>31</v>
      </c>
      <c r="S199" s="218">
        <v>1517.237259</v>
      </c>
      <c r="T199" s="180"/>
      <c r="Y199" s="218">
        <v>570.620542</v>
      </c>
      <c r="Z199" s="180"/>
      <c r="AA199" s="218">
        <v>64630.644350000002</v>
      </c>
      <c r="AB199" s="180"/>
      <c r="AC199" s="252">
        <v>30.30372581</v>
      </c>
      <c r="AD199" s="180"/>
      <c r="AG199" s="218">
        <v>4.6887550200000003</v>
      </c>
      <c r="AH199" s="180"/>
      <c r="AM199" s="218">
        <v>92</v>
      </c>
      <c r="BS199" s="218">
        <v>50.0676804</v>
      </c>
      <c r="BT199" s="180"/>
      <c r="BU199" s="218">
        <v>18.830045699999999</v>
      </c>
      <c r="BV199" s="180"/>
    </row>
    <row r="200" spans="1:74">
      <c r="A200" s="154" t="s">
        <v>7739</v>
      </c>
      <c r="B200" s="224" t="s">
        <v>259</v>
      </c>
      <c r="C200" s="224" t="s">
        <v>7988</v>
      </c>
      <c r="D200" s="224"/>
      <c r="E200" s="222">
        <v>11</v>
      </c>
      <c r="F200" s="225">
        <v>40</v>
      </c>
      <c r="G200" s="223"/>
      <c r="I200" s="253">
        <v>42</v>
      </c>
      <c r="S200" s="218">
        <v>1528.4950739999999</v>
      </c>
      <c r="T200" s="180"/>
      <c r="Y200" s="218">
        <v>584.27829329999997</v>
      </c>
      <c r="Z200" s="180"/>
      <c r="AA200" s="218">
        <v>65468.571810000001</v>
      </c>
      <c r="AB200" s="180"/>
      <c r="AC200" s="252">
        <v>30.59155823</v>
      </c>
      <c r="AD200" s="180"/>
      <c r="AG200" s="218">
        <v>4.6727089629999998</v>
      </c>
      <c r="AH200" s="180"/>
      <c r="AM200" s="218">
        <v>92</v>
      </c>
      <c r="BS200" s="218">
        <v>49.964603400000001</v>
      </c>
      <c r="BT200" s="180"/>
      <c r="BU200" s="218">
        <v>19.099330899999998</v>
      </c>
      <c r="BV200" s="180"/>
    </row>
    <row r="201" spans="1:74">
      <c r="A201" s="154" t="s">
        <v>7739</v>
      </c>
      <c r="B201" s="224" t="s">
        <v>259</v>
      </c>
      <c r="C201" s="224" t="s">
        <v>7989</v>
      </c>
      <c r="D201" s="224"/>
      <c r="E201" s="222">
        <v>16</v>
      </c>
      <c r="F201" s="225">
        <v>12</v>
      </c>
      <c r="G201" s="223"/>
      <c r="I201" s="253">
        <v>28</v>
      </c>
      <c r="S201" s="218">
        <v>1601.903497</v>
      </c>
      <c r="T201" s="180"/>
      <c r="Y201" s="218">
        <v>633.48738779999996</v>
      </c>
      <c r="Z201" s="180"/>
      <c r="AA201" s="218">
        <v>69341.384049999993</v>
      </c>
      <c r="AB201" s="180"/>
      <c r="AC201" s="252">
        <v>32.271215849999997</v>
      </c>
      <c r="AD201" s="180"/>
      <c r="AG201" s="218">
        <v>4.6539618860000003</v>
      </c>
      <c r="AH201" s="180"/>
      <c r="AM201" s="218">
        <v>92</v>
      </c>
      <c r="BS201" s="218">
        <v>49.6387711</v>
      </c>
      <c r="BT201" s="180"/>
      <c r="BU201" s="218">
        <v>19.630106000000001</v>
      </c>
      <c r="BV201" s="180"/>
    </row>
    <row r="202" spans="1:74">
      <c r="A202" s="154" t="s">
        <v>7861</v>
      </c>
      <c r="B202" s="224" t="s">
        <v>257</v>
      </c>
      <c r="C202" s="224" t="s">
        <v>405</v>
      </c>
      <c r="D202" s="224"/>
      <c r="E202" s="222">
        <v>2</v>
      </c>
      <c r="F202" s="225">
        <v>2</v>
      </c>
      <c r="G202" s="223"/>
      <c r="I202" s="253">
        <v>33</v>
      </c>
      <c r="S202" s="218">
        <v>969.61863949999997</v>
      </c>
      <c r="T202" s="180"/>
      <c r="Y202" s="218">
        <v>393.7211188</v>
      </c>
      <c r="Z202" s="180"/>
      <c r="AA202" s="218">
        <v>43032.865409999999</v>
      </c>
      <c r="AB202" s="180"/>
      <c r="AC202" s="252">
        <v>19.93784016</v>
      </c>
      <c r="AD202" s="180"/>
      <c r="AG202" s="218">
        <v>4.6331658290000002</v>
      </c>
      <c r="AH202" s="180"/>
      <c r="AM202" s="218">
        <v>89</v>
      </c>
      <c r="BS202" s="218">
        <v>48.632080100000003</v>
      </c>
      <c r="BT202" s="180"/>
      <c r="BU202" s="218">
        <v>19.7474308</v>
      </c>
      <c r="BV202" s="180"/>
    </row>
    <row r="203" spans="1:74">
      <c r="A203" s="154" t="s">
        <v>7861</v>
      </c>
      <c r="B203" s="224" t="s">
        <v>257</v>
      </c>
      <c r="C203" s="224" t="s">
        <v>7987</v>
      </c>
      <c r="D203" s="224"/>
      <c r="E203" s="222">
        <v>5</v>
      </c>
      <c r="F203" s="225">
        <v>45</v>
      </c>
      <c r="G203" s="223"/>
      <c r="I203" s="253">
        <v>35</v>
      </c>
      <c r="S203" s="218">
        <v>936.39813089999996</v>
      </c>
      <c r="T203" s="180"/>
      <c r="Y203" s="218">
        <v>424.57155599999999</v>
      </c>
      <c r="Z203" s="180"/>
      <c r="AA203" s="218">
        <v>39285.75664</v>
      </c>
      <c r="AB203" s="180"/>
      <c r="AC203" s="252">
        <v>19.706861629999999</v>
      </c>
      <c r="AD203" s="180"/>
      <c r="AG203" s="218">
        <v>5.0162866450000001</v>
      </c>
      <c r="AH203" s="180"/>
      <c r="AM203" s="218">
        <v>87</v>
      </c>
      <c r="BS203" s="218">
        <v>47.5163498</v>
      </c>
      <c r="BT203" s="180"/>
      <c r="BU203" s="218">
        <v>21.544351599999999</v>
      </c>
      <c r="BV203" s="180"/>
    </row>
    <row r="204" spans="1:74">
      <c r="A204" s="154" t="s">
        <v>7861</v>
      </c>
      <c r="B204" s="224" t="s">
        <v>257</v>
      </c>
      <c r="C204" s="224" t="s">
        <v>7988</v>
      </c>
      <c r="D204" s="224"/>
      <c r="E204" s="223">
        <v>9</v>
      </c>
      <c r="F204" s="225">
        <v>31</v>
      </c>
      <c r="G204" s="223"/>
      <c r="I204" s="253">
        <v>31</v>
      </c>
      <c r="S204" s="218">
        <v>1139.823787</v>
      </c>
      <c r="T204" s="180"/>
      <c r="Y204" s="218">
        <v>506.4592677</v>
      </c>
      <c r="Z204" s="180"/>
      <c r="AA204" s="218">
        <v>48955.70074</v>
      </c>
      <c r="AB204" s="180"/>
      <c r="AC204" s="252">
        <v>24.213510729999999</v>
      </c>
      <c r="AD204" s="180"/>
      <c r="AG204" s="218">
        <v>4.9460043200000001</v>
      </c>
      <c r="AH204" s="180"/>
      <c r="AM204" s="218">
        <v>87</v>
      </c>
      <c r="BS204" s="218">
        <v>47.073875399999999</v>
      </c>
      <c r="BT204" s="180"/>
      <c r="BU204" s="218">
        <v>20.916391399999998</v>
      </c>
      <c r="BV204" s="180"/>
    </row>
    <row r="205" spans="1:74">
      <c r="A205" s="154" t="s">
        <v>7861</v>
      </c>
      <c r="B205" s="224" t="s">
        <v>257</v>
      </c>
      <c r="C205" s="224" t="s">
        <v>7989</v>
      </c>
      <c r="D205" s="224"/>
      <c r="E205" s="223">
        <v>13</v>
      </c>
      <c r="F205" s="225">
        <v>57</v>
      </c>
      <c r="G205" s="223"/>
      <c r="I205" s="253">
        <v>26</v>
      </c>
      <c r="S205" s="218">
        <v>1335.109565</v>
      </c>
      <c r="T205" s="180"/>
      <c r="Y205" s="218">
        <v>569.23313440000004</v>
      </c>
      <c r="Z205" s="180"/>
      <c r="AA205" s="218">
        <v>61794.721960000003</v>
      </c>
      <c r="AB205" s="180"/>
      <c r="AC205" s="252">
        <v>27.91893962</v>
      </c>
      <c r="AD205" s="180"/>
      <c r="AG205" s="218">
        <v>4.5180136319999997</v>
      </c>
      <c r="AH205" s="180"/>
      <c r="AM205" s="218">
        <v>87</v>
      </c>
      <c r="BS205" s="218">
        <v>47.820926700000001</v>
      </c>
      <c r="BT205" s="180"/>
      <c r="BU205" s="218">
        <v>20.3887806</v>
      </c>
      <c r="BV205" s="180"/>
    </row>
    <row r="206" spans="1:74">
      <c r="A206" s="154" t="s">
        <v>7861</v>
      </c>
      <c r="B206" s="224" t="s">
        <v>259</v>
      </c>
      <c r="C206" s="224" t="s">
        <v>405</v>
      </c>
      <c r="D206" s="224"/>
      <c r="E206" s="222">
        <v>4</v>
      </c>
      <c r="F206" s="225">
        <v>38</v>
      </c>
      <c r="G206" s="223"/>
      <c r="I206" s="253">
        <v>36</v>
      </c>
      <c r="S206" s="218">
        <v>1505.9091900000001</v>
      </c>
      <c r="T206" s="180"/>
      <c r="Y206" s="218">
        <v>696.5976703</v>
      </c>
      <c r="Z206" s="180"/>
      <c r="AA206" s="218">
        <v>64345.094779999999</v>
      </c>
      <c r="AB206" s="180"/>
      <c r="AC206" s="252">
        <v>31.798052129999999</v>
      </c>
      <c r="AD206" s="180"/>
      <c r="AG206" s="218">
        <v>4.9417989420000001</v>
      </c>
      <c r="AH206" s="180"/>
      <c r="AM206" s="218">
        <v>89</v>
      </c>
      <c r="BS206" s="218">
        <v>47.358535799999999</v>
      </c>
      <c r="BT206" s="180"/>
      <c r="BU206" s="218">
        <v>21.906929000000002</v>
      </c>
      <c r="BV206" s="180"/>
    </row>
    <row r="207" spans="1:74">
      <c r="A207" s="154" t="s">
        <v>7861</v>
      </c>
      <c r="B207" s="224" t="s">
        <v>259</v>
      </c>
      <c r="C207" s="224" t="s">
        <v>7987</v>
      </c>
      <c r="D207" s="224"/>
      <c r="E207" s="222">
        <v>7</v>
      </c>
      <c r="F207" s="225">
        <v>28</v>
      </c>
      <c r="G207" s="223"/>
      <c r="I207" s="253">
        <v>29</v>
      </c>
      <c r="S207" s="218">
        <v>1462.5120010000001</v>
      </c>
      <c r="T207" s="180"/>
      <c r="Y207" s="218">
        <v>630.32325249999997</v>
      </c>
      <c r="Z207" s="180"/>
      <c r="AA207" s="218">
        <v>56208.893920000002</v>
      </c>
      <c r="AB207" s="180"/>
      <c r="AC207" s="252">
        <v>30.266327489999998</v>
      </c>
      <c r="AD207" s="180"/>
      <c r="AG207" s="218">
        <v>5.384615385</v>
      </c>
      <c r="AH207" s="180"/>
      <c r="AM207" s="218">
        <v>87</v>
      </c>
      <c r="BS207" s="218">
        <v>48.321422599999998</v>
      </c>
      <c r="BT207" s="180"/>
      <c r="BU207" s="218">
        <v>20.825891500000001</v>
      </c>
      <c r="BV207" s="180"/>
    </row>
    <row r="208" spans="1:74">
      <c r="A208" s="154" t="s">
        <v>7861</v>
      </c>
      <c r="B208" s="224" t="s">
        <v>259</v>
      </c>
      <c r="C208" s="224" t="s">
        <v>7988</v>
      </c>
      <c r="D208" s="224"/>
      <c r="E208" s="222">
        <v>10</v>
      </c>
      <c r="F208" s="225">
        <v>34</v>
      </c>
      <c r="G208" s="223"/>
      <c r="I208" s="253">
        <v>39</v>
      </c>
      <c r="S208" s="218">
        <v>1447.9370630000001</v>
      </c>
      <c r="T208" s="180"/>
      <c r="Y208" s="218">
        <v>539.57254490000003</v>
      </c>
      <c r="Z208" s="180"/>
      <c r="AA208" s="218">
        <v>66116.811879999994</v>
      </c>
      <c r="AB208" s="180"/>
      <c r="AC208" s="252">
        <v>29.698161389999999</v>
      </c>
      <c r="AD208" s="180"/>
      <c r="AG208" s="218">
        <v>4.4917715390000001</v>
      </c>
      <c r="AH208" s="180"/>
      <c r="AM208" s="218">
        <v>89</v>
      </c>
      <c r="BS208" s="218">
        <v>48.755107899999999</v>
      </c>
      <c r="BT208" s="180"/>
      <c r="BU208" s="218">
        <v>18.168550499999998</v>
      </c>
      <c r="BV208" s="180"/>
    </row>
    <row r="209" spans="1:74">
      <c r="A209" s="154" t="s">
        <v>7861</v>
      </c>
      <c r="B209" s="224" t="s">
        <v>259</v>
      </c>
      <c r="C209" s="224" t="s">
        <v>7989</v>
      </c>
      <c r="D209" s="224"/>
      <c r="E209" s="222">
        <v>16</v>
      </c>
      <c r="F209" s="225">
        <v>10</v>
      </c>
      <c r="G209" s="223"/>
      <c r="I209" s="253">
        <v>28</v>
      </c>
      <c r="S209" s="218">
        <v>1260.602396</v>
      </c>
      <c r="T209" s="180"/>
      <c r="Y209" s="218">
        <v>565.24371410000003</v>
      </c>
      <c r="Z209" s="180"/>
      <c r="AA209" s="218">
        <v>54211.409319999999</v>
      </c>
      <c r="AB209" s="180"/>
      <c r="AC209" s="252">
        <v>26.504627790000001</v>
      </c>
      <c r="AD209" s="180"/>
      <c r="AG209" s="218">
        <v>4.8891235479999997</v>
      </c>
      <c r="AH209" s="180"/>
      <c r="AM209" s="218">
        <v>87</v>
      </c>
      <c r="BS209" s="218">
        <v>47.5615959</v>
      </c>
      <c r="BT209" s="180"/>
      <c r="BU209" s="218">
        <v>21.326227200000002</v>
      </c>
      <c r="BV209" s="180"/>
    </row>
    <row r="210" spans="1:74">
      <c r="A210" s="154" t="s">
        <v>7740</v>
      </c>
      <c r="B210" s="224" t="s">
        <v>257</v>
      </c>
      <c r="C210" s="224" t="s">
        <v>405</v>
      </c>
      <c r="D210" s="224"/>
      <c r="E210" s="223">
        <v>2</v>
      </c>
      <c r="F210" s="225">
        <v>16</v>
      </c>
      <c r="G210" s="223"/>
      <c r="I210" s="253">
        <v>35</v>
      </c>
      <c r="S210" s="218">
        <v>1290.826773</v>
      </c>
      <c r="T210" s="180"/>
      <c r="Y210" s="218">
        <v>526.60820909999995</v>
      </c>
      <c r="Z210" s="180"/>
      <c r="AA210" s="218">
        <v>60506.704160000001</v>
      </c>
      <c r="AB210" s="180"/>
      <c r="AC210" s="252">
        <v>27.174733079999999</v>
      </c>
      <c r="AD210" s="180"/>
      <c r="AG210" s="218">
        <v>4.4911937379999998</v>
      </c>
      <c r="AH210" s="180"/>
      <c r="AM210" s="218">
        <v>101</v>
      </c>
      <c r="BS210" s="218">
        <v>47.500991800000001</v>
      </c>
      <c r="BT210" s="180"/>
      <c r="BU210" s="218">
        <v>19.378597299999999</v>
      </c>
      <c r="BV210" s="180"/>
    </row>
    <row r="211" spans="1:74">
      <c r="A211" s="154" t="s">
        <v>7740</v>
      </c>
      <c r="B211" s="224" t="s">
        <v>257</v>
      </c>
      <c r="C211" s="224" t="s">
        <v>7987</v>
      </c>
      <c r="D211" s="224"/>
      <c r="E211" s="223">
        <v>7</v>
      </c>
      <c r="F211" s="225">
        <v>40</v>
      </c>
      <c r="G211" s="223"/>
      <c r="I211" s="253">
        <v>40</v>
      </c>
      <c r="S211" s="218">
        <v>1637.8542930000001</v>
      </c>
      <c r="T211" s="180"/>
      <c r="Y211" s="218">
        <v>582.50268110000002</v>
      </c>
      <c r="Z211" s="180"/>
      <c r="AA211" s="218">
        <v>71607.394279999993</v>
      </c>
      <c r="AB211" s="180"/>
      <c r="AC211" s="252">
        <v>31.863577360000001</v>
      </c>
      <c r="AD211" s="180"/>
      <c r="AG211" s="218">
        <v>4.4497607659999998</v>
      </c>
      <c r="AH211" s="180"/>
      <c r="AM211" s="218">
        <v>99</v>
      </c>
      <c r="BS211" s="218">
        <v>51.4020844</v>
      </c>
      <c r="BT211" s="180"/>
      <c r="BU211" s="218">
        <v>18.2811451</v>
      </c>
      <c r="BV211" s="180"/>
    </row>
    <row r="212" spans="1:74">
      <c r="A212" s="154" t="s">
        <v>7740</v>
      </c>
      <c r="B212" s="224" t="s">
        <v>257</v>
      </c>
      <c r="C212" s="224" t="s">
        <v>7988</v>
      </c>
      <c r="D212" s="224"/>
      <c r="E212" s="222">
        <v>12</v>
      </c>
      <c r="F212" s="225">
        <v>19</v>
      </c>
      <c r="G212" s="223"/>
      <c r="I212" s="253">
        <v>38</v>
      </c>
      <c r="S212" s="218">
        <v>1950.6924650000001</v>
      </c>
      <c r="T212" s="180"/>
      <c r="Y212" s="218">
        <v>628.57989550000002</v>
      </c>
      <c r="Z212" s="180"/>
      <c r="AA212" s="218">
        <v>81538.703930000003</v>
      </c>
      <c r="AB212" s="180"/>
      <c r="AC212" s="252">
        <v>36.896063869999999</v>
      </c>
      <c r="AD212" s="180"/>
      <c r="AG212" s="218">
        <v>4.5249755140000003</v>
      </c>
      <c r="AH212" s="180"/>
      <c r="AM212" s="218">
        <v>92</v>
      </c>
      <c r="BS212" s="218">
        <v>52.869934100000002</v>
      </c>
      <c r="BT212" s="180"/>
      <c r="BU212" s="218">
        <v>17.036502800000001</v>
      </c>
      <c r="BV212" s="180"/>
    </row>
    <row r="213" spans="1:74">
      <c r="A213" s="154" t="s">
        <v>7740</v>
      </c>
      <c r="B213" s="224" t="s">
        <v>257</v>
      </c>
      <c r="C213" s="224" t="s">
        <v>7989</v>
      </c>
      <c r="D213" s="224"/>
      <c r="E213" s="222">
        <v>16</v>
      </c>
      <c r="F213" s="225">
        <v>57</v>
      </c>
      <c r="G213" s="223"/>
      <c r="I213" s="253">
        <v>35</v>
      </c>
      <c r="S213" s="218">
        <v>1590.999335</v>
      </c>
      <c r="T213" s="180"/>
      <c r="Y213" s="218">
        <v>536.83590460000005</v>
      </c>
      <c r="Z213" s="180"/>
      <c r="AA213" s="218">
        <v>67754.722769999993</v>
      </c>
      <c r="AB213" s="180"/>
      <c r="AC213" s="252">
        <v>30.456734600000001</v>
      </c>
      <c r="AD213" s="180"/>
      <c r="AG213" s="218">
        <v>4.4951456309999998</v>
      </c>
      <c r="AH213" s="180"/>
      <c r="AM213" s="218">
        <v>99</v>
      </c>
      <c r="BS213" s="218">
        <v>52.238014200000002</v>
      </c>
      <c r="BT213" s="180"/>
      <c r="BU213" s="218">
        <v>17.626180600000001</v>
      </c>
      <c r="BV213" s="180"/>
    </row>
    <row r="214" spans="1:74">
      <c r="A214" s="154" t="s">
        <v>7740</v>
      </c>
      <c r="B214" s="224" t="s">
        <v>259</v>
      </c>
      <c r="C214" s="224" t="s">
        <v>405</v>
      </c>
      <c r="D214" s="224"/>
      <c r="E214" s="222">
        <v>1</v>
      </c>
      <c r="F214" s="225">
        <v>62</v>
      </c>
      <c r="G214" s="223"/>
      <c r="I214" s="253">
        <v>35</v>
      </c>
      <c r="S214" s="218">
        <v>1593.72154</v>
      </c>
      <c r="T214" s="180"/>
      <c r="Y214" s="218">
        <v>549.49840849999998</v>
      </c>
      <c r="Z214" s="180"/>
      <c r="AA214" s="218">
        <v>67381.576549999998</v>
      </c>
      <c r="AB214" s="180"/>
      <c r="AC214" s="252">
        <v>30.477409260000002</v>
      </c>
      <c r="AD214" s="180"/>
      <c r="AG214" s="218">
        <v>4.5231071780000001</v>
      </c>
      <c r="AH214" s="180"/>
      <c r="AM214" s="218">
        <v>101</v>
      </c>
      <c r="BS214" s="218">
        <v>52.291896800000004</v>
      </c>
      <c r="BT214" s="180"/>
      <c r="BU214" s="218">
        <v>18.029695499999999</v>
      </c>
      <c r="BV214" s="180"/>
    </row>
    <row r="215" spans="1:74">
      <c r="A215" s="154" t="s">
        <v>7740</v>
      </c>
      <c r="B215" s="224" t="s">
        <v>259</v>
      </c>
      <c r="C215" s="224" t="s">
        <v>7987</v>
      </c>
      <c r="D215" s="224"/>
      <c r="E215" s="222">
        <v>6</v>
      </c>
      <c r="F215" s="225">
        <v>30</v>
      </c>
      <c r="G215" s="223"/>
      <c r="I215" s="253">
        <v>38</v>
      </c>
      <c r="S215" s="218">
        <v>1779.427907</v>
      </c>
      <c r="T215" s="180"/>
      <c r="Y215" s="218">
        <v>629.70205410000005</v>
      </c>
      <c r="Z215" s="180"/>
      <c r="AA215" s="218">
        <v>67140.085720000003</v>
      </c>
      <c r="AB215" s="180"/>
      <c r="AC215" s="252">
        <v>34.544173569999998</v>
      </c>
      <c r="AD215" s="180"/>
      <c r="AG215" s="218">
        <v>5.1450892860000002</v>
      </c>
      <c r="AH215" s="180"/>
      <c r="AM215" s="218">
        <v>99</v>
      </c>
      <c r="BS215" s="218">
        <v>51.511665299999997</v>
      </c>
      <c r="BT215" s="180"/>
      <c r="BU215" s="218">
        <v>18.228893299999999</v>
      </c>
      <c r="BV215" s="180"/>
    </row>
    <row r="216" spans="1:74">
      <c r="A216" s="154" t="s">
        <v>7740</v>
      </c>
      <c r="B216" s="224" t="s">
        <v>259</v>
      </c>
      <c r="C216" s="224" t="s">
        <v>7988</v>
      </c>
      <c r="D216" s="224"/>
      <c r="E216" s="222">
        <v>9</v>
      </c>
      <c r="F216" s="225">
        <v>47</v>
      </c>
      <c r="G216" s="223"/>
      <c r="I216" s="253">
        <v>42</v>
      </c>
      <c r="S216" s="218">
        <v>1781.9523099999999</v>
      </c>
      <c r="T216" s="180"/>
      <c r="Y216" s="218">
        <v>631.56412550000005</v>
      </c>
      <c r="Z216" s="180"/>
      <c r="AA216" s="218">
        <v>73451.599740000005</v>
      </c>
      <c r="AB216" s="180"/>
      <c r="AC216" s="252">
        <v>34.302269930000001</v>
      </c>
      <c r="AD216" s="180"/>
      <c r="AG216" s="218">
        <v>4.6700507609999997</v>
      </c>
      <c r="AH216" s="180"/>
      <c r="AM216" s="218">
        <v>99</v>
      </c>
      <c r="BS216" s="218">
        <v>51.948524499999998</v>
      </c>
      <c r="BT216" s="180"/>
      <c r="BU216" s="218">
        <v>18.4117298</v>
      </c>
      <c r="BV216" s="180"/>
    </row>
    <row r="217" spans="1:74">
      <c r="A217" s="154" t="s">
        <v>7740</v>
      </c>
      <c r="B217" s="224" t="s">
        <v>259</v>
      </c>
      <c r="C217" s="224" t="s">
        <v>7989</v>
      </c>
      <c r="D217" s="224"/>
      <c r="E217" s="223">
        <v>14</v>
      </c>
      <c r="F217" s="225">
        <v>22</v>
      </c>
      <c r="G217" s="223"/>
      <c r="I217" s="253">
        <v>44</v>
      </c>
      <c r="S217" s="218">
        <v>1795.452299</v>
      </c>
      <c r="T217" s="180"/>
      <c r="Y217" s="218">
        <v>677.53699549999999</v>
      </c>
      <c r="Z217" s="180"/>
      <c r="AA217" s="218">
        <v>68340.959390000004</v>
      </c>
      <c r="AB217" s="180"/>
      <c r="AC217" s="252">
        <v>35.706231590000002</v>
      </c>
      <c r="AD217" s="180"/>
      <c r="AG217" s="218">
        <v>5.2247191009999998</v>
      </c>
      <c r="AH217" s="180"/>
      <c r="AM217" s="218">
        <v>99</v>
      </c>
      <c r="BS217" s="218">
        <v>50.284004199999998</v>
      </c>
      <c r="BT217" s="180"/>
      <c r="BU217" s="218">
        <v>18.9753151</v>
      </c>
      <c r="BV217" s="180"/>
    </row>
    <row r="218" spans="1:74">
      <c r="A218" s="154" t="s">
        <v>7741</v>
      </c>
      <c r="B218" s="224" t="s">
        <v>257</v>
      </c>
      <c r="C218" s="224" t="s">
        <v>405</v>
      </c>
      <c r="D218" s="224"/>
      <c r="E218" s="222">
        <v>4</v>
      </c>
      <c r="F218" s="225">
        <v>15</v>
      </c>
      <c r="G218" s="223"/>
      <c r="I218" s="253">
        <v>32</v>
      </c>
      <c r="S218" s="218">
        <v>1597.5574099999999</v>
      </c>
      <c r="T218" s="180"/>
      <c r="Y218" s="218">
        <v>585.68234480000001</v>
      </c>
      <c r="Z218" s="180"/>
      <c r="AA218" s="218">
        <v>70001.553480000002</v>
      </c>
      <c r="AB218" s="180"/>
      <c r="AC218" s="252">
        <v>32.523154460000001</v>
      </c>
      <c r="AD218" s="180"/>
      <c r="AG218" s="218">
        <v>4.6460618150000004</v>
      </c>
      <c r="AH218" s="180"/>
      <c r="AM218" s="218">
        <v>92</v>
      </c>
      <c r="BS218" s="218">
        <v>49.120616900000002</v>
      </c>
      <c r="BT218" s="180"/>
      <c r="BU218" s="218">
        <v>18.008165399999999</v>
      </c>
      <c r="BV218" s="180"/>
    </row>
    <row r="219" spans="1:74">
      <c r="A219" s="154" t="s">
        <v>7741</v>
      </c>
      <c r="B219" s="224" t="s">
        <v>257</v>
      </c>
      <c r="C219" s="224" t="s">
        <v>7987</v>
      </c>
      <c r="D219" s="224"/>
      <c r="E219" s="222">
        <v>8</v>
      </c>
      <c r="F219" s="225">
        <v>55</v>
      </c>
      <c r="G219" s="223"/>
      <c r="I219" s="253">
        <v>32</v>
      </c>
      <c r="S219" s="218">
        <v>1830.970192</v>
      </c>
      <c r="T219" s="180"/>
      <c r="Y219" s="218">
        <v>668.88941190000003</v>
      </c>
      <c r="Z219" s="180"/>
      <c r="AA219" s="218">
        <v>76417.213090000005</v>
      </c>
      <c r="AB219" s="180"/>
      <c r="AC219" s="252">
        <v>36.274972609999999</v>
      </c>
      <c r="AD219" s="180"/>
      <c r="AG219" s="218">
        <v>4.7469635630000004</v>
      </c>
      <c r="AH219" s="180"/>
      <c r="AM219" s="218">
        <v>92</v>
      </c>
      <c r="BS219" s="218">
        <v>50.474750499999999</v>
      </c>
      <c r="BT219" s="180"/>
      <c r="BU219" s="218">
        <v>18.439418799999999</v>
      </c>
      <c r="BV219" s="180"/>
    </row>
    <row r="220" spans="1:74">
      <c r="A220" s="154" t="s">
        <v>7741</v>
      </c>
      <c r="B220" s="224" t="s">
        <v>257</v>
      </c>
      <c r="C220" s="224" t="s">
        <v>7988</v>
      </c>
      <c r="D220" s="224"/>
      <c r="E220" s="222">
        <v>10</v>
      </c>
      <c r="F220" s="225">
        <v>30</v>
      </c>
      <c r="G220" s="223"/>
      <c r="I220" s="253">
        <v>37</v>
      </c>
      <c r="S220" s="218">
        <v>1065.902752</v>
      </c>
      <c r="T220" s="180"/>
      <c r="Y220" s="218">
        <v>386.37041959999999</v>
      </c>
      <c r="Z220" s="180"/>
      <c r="AA220" s="218">
        <v>42948.183279999997</v>
      </c>
      <c r="AB220" s="180"/>
      <c r="AC220" s="252">
        <v>21.82459368</v>
      </c>
      <c r="AD220" s="180"/>
      <c r="AG220" s="218">
        <v>5.081610446</v>
      </c>
      <c r="AH220" s="180"/>
      <c r="AM220" s="218">
        <v>89</v>
      </c>
      <c r="BS220" s="218">
        <v>48.839523300000003</v>
      </c>
      <c r="BT220" s="180"/>
      <c r="BU220" s="218">
        <v>17.703441600000001</v>
      </c>
      <c r="BV220" s="180"/>
    </row>
    <row r="221" spans="1:74">
      <c r="A221" s="154" t="s">
        <v>7741</v>
      </c>
      <c r="B221" s="224" t="s">
        <v>257</v>
      </c>
      <c r="C221" s="224" t="s">
        <v>7989</v>
      </c>
      <c r="D221" s="224"/>
      <c r="E221" s="222">
        <v>16</v>
      </c>
      <c r="F221" s="225">
        <v>42</v>
      </c>
      <c r="G221" s="223"/>
      <c r="I221" s="253">
        <v>40</v>
      </c>
      <c r="S221" s="218">
        <v>1632.9415160000001</v>
      </c>
      <c r="T221" s="180"/>
      <c r="Y221" s="218">
        <v>560.11188130000005</v>
      </c>
      <c r="Z221" s="180"/>
      <c r="AA221" s="218">
        <v>71139.871369999993</v>
      </c>
      <c r="AB221" s="180"/>
      <c r="AC221" s="252">
        <v>32.143159609999998</v>
      </c>
      <c r="AD221" s="180"/>
      <c r="AG221" s="218">
        <v>4.5183044319999999</v>
      </c>
      <c r="AH221" s="180"/>
      <c r="AM221" s="218">
        <v>92</v>
      </c>
      <c r="BS221" s="218">
        <v>50.802146899999997</v>
      </c>
      <c r="BT221" s="180"/>
      <c r="BU221" s="218">
        <v>17.425539000000001</v>
      </c>
      <c r="BV221" s="180"/>
    </row>
    <row r="222" spans="1:74">
      <c r="A222" s="154" t="s">
        <v>7741</v>
      </c>
      <c r="B222" s="224" t="s">
        <v>259</v>
      </c>
      <c r="C222" s="224" t="s">
        <v>405</v>
      </c>
      <c r="D222" s="224"/>
      <c r="E222" s="223">
        <v>1</v>
      </c>
      <c r="F222" s="225">
        <v>45</v>
      </c>
      <c r="G222" s="223"/>
      <c r="I222" s="253">
        <v>34</v>
      </c>
      <c r="S222" s="218">
        <v>1438.1562429999999</v>
      </c>
      <c r="T222" s="180"/>
      <c r="Y222" s="218">
        <v>556.16318060000003</v>
      </c>
      <c r="Z222" s="180"/>
      <c r="AA222" s="218">
        <v>58816.896079999999</v>
      </c>
      <c r="AB222" s="180"/>
      <c r="AC222" s="252">
        <v>28.441680389999998</v>
      </c>
      <c r="AD222" s="180"/>
      <c r="AG222" s="218">
        <v>4.835630965</v>
      </c>
      <c r="AH222" s="180"/>
      <c r="AM222" s="218">
        <v>92</v>
      </c>
      <c r="BS222" s="218">
        <v>50.565094000000002</v>
      </c>
      <c r="BT222" s="180"/>
      <c r="BU222" s="218">
        <v>19.554511999999999</v>
      </c>
      <c r="BV222" s="180"/>
    </row>
    <row r="223" spans="1:74">
      <c r="A223" s="154" t="s">
        <v>7741</v>
      </c>
      <c r="B223" s="224" t="s">
        <v>259</v>
      </c>
      <c r="C223" s="224" t="s">
        <v>7987</v>
      </c>
      <c r="D223" s="224"/>
      <c r="E223" s="223">
        <v>7</v>
      </c>
      <c r="F223" s="225">
        <v>13</v>
      </c>
      <c r="G223" s="223"/>
      <c r="I223" s="253">
        <v>32</v>
      </c>
      <c r="S223" s="218">
        <v>1883.433968</v>
      </c>
      <c r="T223" s="180"/>
      <c r="Y223" s="218">
        <v>754.13395709999998</v>
      </c>
      <c r="Z223" s="180"/>
      <c r="AA223" s="218">
        <v>74895.468789999999</v>
      </c>
      <c r="AB223" s="180"/>
      <c r="AC223" s="252">
        <v>38.183606910000002</v>
      </c>
      <c r="AD223" s="180"/>
      <c r="AG223" s="218">
        <v>5.0982532750000003</v>
      </c>
      <c r="AH223" s="180"/>
      <c r="AM223" s="218">
        <v>92</v>
      </c>
      <c r="BS223" s="218">
        <v>49.582160899999998</v>
      </c>
      <c r="BT223" s="180"/>
      <c r="BU223" s="218">
        <v>19.7502022</v>
      </c>
      <c r="BV223" s="180"/>
    </row>
    <row r="224" spans="1:74">
      <c r="A224" s="154" t="s">
        <v>7741</v>
      </c>
      <c r="B224" s="224" t="s">
        <v>259</v>
      </c>
      <c r="C224" s="224" t="s">
        <v>7988</v>
      </c>
      <c r="D224" s="224"/>
      <c r="E224" s="222">
        <v>10</v>
      </c>
      <c r="F224" s="225">
        <v>64</v>
      </c>
      <c r="G224" s="223"/>
      <c r="I224" s="253">
        <v>38</v>
      </c>
      <c r="S224" s="218">
        <v>1875.1730669999999</v>
      </c>
      <c r="T224" s="180"/>
      <c r="Y224" s="218">
        <v>709.9176847</v>
      </c>
      <c r="Z224" s="180"/>
      <c r="AA224" s="218">
        <v>77900.42138</v>
      </c>
      <c r="AB224" s="180"/>
      <c r="AC224" s="252">
        <v>37.388999779999999</v>
      </c>
      <c r="AD224" s="180"/>
      <c r="AG224" s="218">
        <v>4.7995888999999998</v>
      </c>
      <c r="AH224" s="180"/>
      <c r="AM224" s="218">
        <v>92</v>
      </c>
      <c r="BS224" s="218">
        <v>50.153068500000003</v>
      </c>
      <c r="BT224" s="180"/>
      <c r="BU224" s="218">
        <v>18.9873409</v>
      </c>
      <c r="BV224" s="180"/>
    </row>
    <row r="225" spans="1:74">
      <c r="A225" s="154" t="s">
        <v>7741</v>
      </c>
      <c r="B225" s="224" t="s">
        <v>259</v>
      </c>
      <c r="C225" s="224" t="s">
        <v>7989</v>
      </c>
      <c r="D225" s="224"/>
      <c r="E225" s="222">
        <v>16</v>
      </c>
      <c r="F225" s="225">
        <v>5</v>
      </c>
      <c r="G225" s="223"/>
      <c r="I225" s="253">
        <v>36</v>
      </c>
      <c r="S225" s="218">
        <v>1400.060297</v>
      </c>
      <c r="T225" s="180"/>
      <c r="Y225" s="218">
        <v>588.96620900000005</v>
      </c>
      <c r="Z225" s="180"/>
      <c r="AA225" s="218">
        <v>67319.595960000006</v>
      </c>
      <c r="AB225" s="180"/>
      <c r="AC225" s="252">
        <v>28.92390572</v>
      </c>
      <c r="AD225" s="180"/>
      <c r="AG225" s="218">
        <v>4.2965061379999998</v>
      </c>
      <c r="AH225" s="180"/>
      <c r="AM225" s="218">
        <v>92</v>
      </c>
      <c r="BS225" s="218">
        <v>48.404952999999999</v>
      </c>
      <c r="BT225" s="180"/>
      <c r="BU225" s="218">
        <v>20.362609899999999</v>
      </c>
      <c r="BV225" s="180"/>
    </row>
    <row r="226" spans="1:74">
      <c r="A226" s="154" t="s">
        <v>7742</v>
      </c>
      <c r="B226" s="224" t="s">
        <v>257</v>
      </c>
      <c r="C226" s="224" t="s">
        <v>405</v>
      </c>
      <c r="D226" s="224"/>
      <c r="E226" s="222">
        <v>4</v>
      </c>
      <c r="F226" s="225">
        <v>20</v>
      </c>
      <c r="G226" s="223"/>
      <c r="I226" s="253">
        <v>38</v>
      </c>
      <c r="S226" s="218">
        <v>1733.6047129999999</v>
      </c>
      <c r="T226" s="180"/>
      <c r="Y226" s="218">
        <v>668.02627370000005</v>
      </c>
      <c r="Z226" s="180"/>
      <c r="AA226" s="218">
        <v>69981.980349999998</v>
      </c>
      <c r="AB226" s="180"/>
      <c r="AC226" s="252">
        <v>34.50963264</v>
      </c>
      <c r="AD226" s="180"/>
      <c r="AG226" s="218">
        <v>4.9312169309999998</v>
      </c>
      <c r="AH226" s="180"/>
      <c r="AM226" s="218">
        <v>92</v>
      </c>
      <c r="BS226" s="218">
        <v>50.235385899999997</v>
      </c>
      <c r="BT226" s="180"/>
      <c r="BU226" s="218">
        <v>19.3576756</v>
      </c>
      <c r="BV226" s="180"/>
    </row>
    <row r="227" spans="1:74">
      <c r="A227" s="154" t="s">
        <v>7742</v>
      </c>
      <c r="B227" s="224" t="s">
        <v>257</v>
      </c>
      <c r="C227" s="224" t="s">
        <v>7987</v>
      </c>
      <c r="D227" s="224"/>
      <c r="E227" s="222">
        <v>5</v>
      </c>
      <c r="F227" s="225">
        <v>54</v>
      </c>
      <c r="G227" s="223"/>
      <c r="I227" s="253">
        <v>34</v>
      </c>
      <c r="S227" s="218" t="s">
        <v>7956</v>
      </c>
      <c r="T227" s="180"/>
      <c r="Y227" s="218" t="s">
        <v>7956</v>
      </c>
      <c r="Z227" s="180"/>
      <c r="AA227" s="218" t="s">
        <v>7956</v>
      </c>
      <c r="AB227" s="180"/>
      <c r="AC227" s="252" t="s">
        <v>7956</v>
      </c>
      <c r="AD227" s="180"/>
      <c r="AG227" s="218">
        <v>4.7476828009999998</v>
      </c>
      <c r="AH227" s="180"/>
      <c r="AM227" s="218">
        <v>92</v>
      </c>
      <c r="BS227" s="218">
        <v>49.471309699999999</v>
      </c>
      <c r="BT227" s="180"/>
      <c r="BU227" s="218">
        <v>19.906429299999999</v>
      </c>
      <c r="BV227" s="180"/>
    </row>
    <row r="228" spans="1:74">
      <c r="A228" s="154" t="s">
        <v>7742</v>
      </c>
      <c r="B228" s="224" t="s">
        <v>257</v>
      </c>
      <c r="C228" s="224" t="s">
        <v>7988</v>
      </c>
      <c r="D228" s="224"/>
      <c r="E228" s="223">
        <v>9</v>
      </c>
      <c r="F228" s="225">
        <v>8</v>
      </c>
      <c r="G228" s="223"/>
      <c r="I228" s="253">
        <v>33</v>
      </c>
      <c r="S228" s="218">
        <v>1339.6866680000001</v>
      </c>
      <c r="T228" s="180"/>
      <c r="Y228" s="218">
        <v>493.6946605</v>
      </c>
      <c r="Z228" s="180"/>
      <c r="AA228" s="218">
        <v>53991.422960000004</v>
      </c>
      <c r="AB228" s="180"/>
      <c r="AC228" s="252">
        <v>26.852269870000001</v>
      </c>
      <c r="AD228" s="180"/>
      <c r="AG228" s="218">
        <v>4.9734325190000002</v>
      </c>
      <c r="AH228" s="180"/>
      <c r="AM228" s="218">
        <v>92</v>
      </c>
      <c r="BS228" s="218">
        <v>49.891002700000001</v>
      </c>
      <c r="BT228" s="180"/>
      <c r="BU228" s="218">
        <v>18.3855839</v>
      </c>
      <c r="BV228" s="180"/>
    </row>
    <row r="229" spans="1:74">
      <c r="A229" s="154" t="s">
        <v>7742</v>
      </c>
      <c r="B229" s="224" t="s">
        <v>257</v>
      </c>
      <c r="C229" s="224" t="s">
        <v>7989</v>
      </c>
      <c r="D229" s="224"/>
      <c r="E229" s="223">
        <v>13</v>
      </c>
      <c r="F229" s="225">
        <v>45</v>
      </c>
      <c r="G229" s="223"/>
      <c r="I229" s="253">
        <v>43</v>
      </c>
      <c r="S229" s="218">
        <v>1717.4906410000001</v>
      </c>
      <c r="T229" s="180"/>
      <c r="Y229" s="218">
        <v>611.02756069999998</v>
      </c>
      <c r="Z229" s="180"/>
      <c r="AA229" s="218">
        <v>71816.007979999995</v>
      </c>
      <c r="AB229" s="180"/>
      <c r="AC229" s="252">
        <v>33.765868259999998</v>
      </c>
      <c r="AD229" s="180"/>
      <c r="AG229" s="218">
        <v>4.7017189080000001</v>
      </c>
      <c r="AH229" s="180"/>
      <c r="AM229" s="218">
        <v>92</v>
      </c>
      <c r="BS229" s="218">
        <v>50.864696500000001</v>
      </c>
      <c r="BT229" s="180"/>
      <c r="BU229" s="218">
        <v>18.096012099999999</v>
      </c>
      <c r="BV229" s="180"/>
    </row>
    <row r="230" spans="1:74">
      <c r="A230" s="154" t="s">
        <v>7742</v>
      </c>
      <c r="B230" s="224" t="s">
        <v>259</v>
      </c>
      <c r="C230" s="224" t="s">
        <v>405</v>
      </c>
      <c r="D230" s="224"/>
      <c r="E230" s="222">
        <v>2</v>
      </c>
      <c r="F230" s="225">
        <v>40</v>
      </c>
      <c r="G230" s="223"/>
      <c r="I230" s="253">
        <v>41</v>
      </c>
      <c r="S230" s="218">
        <v>1731.5576900000001</v>
      </c>
      <c r="T230" s="180"/>
      <c r="Y230" s="218">
        <v>711.05907309999998</v>
      </c>
      <c r="Z230" s="180"/>
      <c r="AA230" s="218">
        <v>78164.387100000007</v>
      </c>
      <c r="AB230" s="180"/>
      <c r="AC230" s="252">
        <v>35.494193549999999</v>
      </c>
      <c r="AD230" s="180"/>
      <c r="AG230" s="218">
        <v>4.5409674229999997</v>
      </c>
      <c r="AH230" s="180"/>
      <c r="AM230" s="218">
        <v>92</v>
      </c>
      <c r="BS230" s="218">
        <v>48.784252199999997</v>
      </c>
      <c r="BT230" s="180"/>
      <c r="BU230" s="218">
        <v>20.033109700000001</v>
      </c>
      <c r="BV230" s="180"/>
    </row>
    <row r="231" spans="1:74">
      <c r="A231" s="154" t="s">
        <v>7742</v>
      </c>
      <c r="B231" s="224" t="s">
        <v>259</v>
      </c>
      <c r="C231" s="224" t="s">
        <v>7987</v>
      </c>
      <c r="D231" s="224"/>
      <c r="E231" s="222">
        <v>5</v>
      </c>
      <c r="F231" s="225">
        <v>18</v>
      </c>
      <c r="G231" s="223"/>
      <c r="I231" s="253">
        <v>37</v>
      </c>
      <c r="S231" s="218">
        <v>1740.312999</v>
      </c>
      <c r="T231" s="180"/>
      <c r="Y231" s="218">
        <v>665.90795900000001</v>
      </c>
      <c r="Z231" s="180"/>
      <c r="AA231" s="218">
        <v>69992.916079999995</v>
      </c>
      <c r="AB231" s="180"/>
      <c r="AC231" s="252">
        <v>34.553464900000002</v>
      </c>
      <c r="AD231" s="180"/>
      <c r="AG231" s="218">
        <v>4.9367088609999996</v>
      </c>
      <c r="AH231" s="180"/>
      <c r="AM231" s="218">
        <v>92</v>
      </c>
      <c r="BS231" s="218">
        <v>50.365802799999997</v>
      </c>
      <c r="BT231" s="180"/>
      <c r="BU231" s="218">
        <v>19.271814299999999</v>
      </c>
      <c r="BV231" s="180"/>
    </row>
    <row r="232" spans="1:74">
      <c r="A232" s="154" t="s">
        <v>7742</v>
      </c>
      <c r="B232" s="224" t="s">
        <v>259</v>
      </c>
      <c r="C232" s="224" t="s">
        <v>7988</v>
      </c>
      <c r="D232" s="224"/>
      <c r="E232" s="222">
        <v>9</v>
      </c>
      <c r="F232" s="225">
        <v>60</v>
      </c>
      <c r="G232" s="223"/>
      <c r="I232" s="253">
        <v>34</v>
      </c>
      <c r="S232" s="218">
        <v>1878.993189</v>
      </c>
      <c r="T232" s="180"/>
      <c r="Y232" s="218">
        <v>845.86580800000002</v>
      </c>
      <c r="Z232" s="180"/>
      <c r="AA232" s="218">
        <v>82732.095289999997</v>
      </c>
      <c r="AB232" s="180"/>
      <c r="AC232" s="252">
        <v>39.969725359999998</v>
      </c>
      <c r="AD232" s="180"/>
      <c r="AG232" s="218">
        <v>4.8312236290000001</v>
      </c>
      <c r="AH232" s="180"/>
      <c r="AM232" s="218">
        <v>94</v>
      </c>
      <c r="BS232" s="218">
        <v>47.010410299999997</v>
      </c>
      <c r="BT232" s="180"/>
      <c r="BU232" s="218">
        <v>21.1626625</v>
      </c>
      <c r="BV232" s="180"/>
    </row>
    <row r="233" spans="1:74">
      <c r="A233" s="154" t="s">
        <v>7742</v>
      </c>
      <c r="B233" s="224" t="s">
        <v>259</v>
      </c>
      <c r="C233" s="224" t="s">
        <v>7989</v>
      </c>
      <c r="D233" s="224"/>
      <c r="E233" s="222">
        <v>15</v>
      </c>
      <c r="F233" s="225">
        <v>16</v>
      </c>
      <c r="G233" s="223"/>
      <c r="I233" s="253">
        <v>38</v>
      </c>
      <c r="S233" s="218">
        <v>1773.5098009999999</v>
      </c>
      <c r="T233" s="180"/>
      <c r="Y233" s="218">
        <v>717.4022397</v>
      </c>
      <c r="Z233" s="180"/>
      <c r="AA233" s="218">
        <v>75217.830860000002</v>
      </c>
      <c r="AB233" s="180"/>
      <c r="AC233" s="252">
        <v>36.247682709999999</v>
      </c>
      <c r="AD233" s="180"/>
      <c r="AG233" s="218">
        <v>4.819027921</v>
      </c>
      <c r="AH233" s="180"/>
      <c r="AM233" s="218">
        <v>92</v>
      </c>
      <c r="BS233" s="218">
        <v>48.927536000000003</v>
      </c>
      <c r="BT233" s="180"/>
      <c r="BU233" s="218">
        <v>19.7916718</v>
      </c>
      <c r="BV233" s="180"/>
    </row>
    <row r="234" spans="1:74">
      <c r="A234" s="154" t="s">
        <v>7743</v>
      </c>
      <c r="B234" s="224" t="s">
        <v>257</v>
      </c>
      <c r="C234" s="224" t="s">
        <v>405</v>
      </c>
      <c r="D234" s="224"/>
      <c r="E234" s="222">
        <v>4</v>
      </c>
      <c r="F234" s="225">
        <v>29</v>
      </c>
      <c r="G234" s="223"/>
      <c r="I234" s="253">
        <v>38</v>
      </c>
      <c r="S234" s="218">
        <v>1644.8522190000001</v>
      </c>
      <c r="T234" s="180"/>
      <c r="Y234" s="218">
        <v>644.8750771</v>
      </c>
      <c r="Z234" s="180"/>
      <c r="AA234" s="218">
        <v>70912.501080000002</v>
      </c>
      <c r="AB234" s="180"/>
      <c r="AC234" s="252">
        <v>33.106739959999999</v>
      </c>
      <c r="AD234" s="180"/>
      <c r="AG234" s="218">
        <v>4.6686746990000003</v>
      </c>
      <c r="AH234" s="180"/>
      <c r="AM234" s="218">
        <v>74</v>
      </c>
      <c r="BS234" s="218">
        <v>49.683303799999997</v>
      </c>
      <c r="BT234" s="180"/>
      <c r="BU234" s="218">
        <v>19.4786644</v>
      </c>
      <c r="BV234" s="180"/>
    </row>
    <row r="235" spans="1:74">
      <c r="A235" s="154" t="s">
        <v>7743</v>
      </c>
      <c r="B235" s="224" t="s">
        <v>257</v>
      </c>
      <c r="C235" s="224" t="s">
        <v>7987</v>
      </c>
      <c r="D235" s="224"/>
      <c r="E235" s="223">
        <v>5</v>
      </c>
      <c r="F235" s="225">
        <v>46</v>
      </c>
      <c r="G235" s="223"/>
      <c r="I235" s="253">
        <v>37</v>
      </c>
      <c r="S235" s="218">
        <v>1316.6162409999999</v>
      </c>
      <c r="T235" s="180"/>
      <c r="Y235" s="218">
        <v>487.19722689999998</v>
      </c>
      <c r="Z235" s="180"/>
      <c r="AA235" s="218">
        <v>57182.857940000002</v>
      </c>
      <c r="AB235" s="180"/>
      <c r="AC235" s="252">
        <v>26.19931738</v>
      </c>
      <c r="AD235" s="180"/>
      <c r="AG235" s="218">
        <v>4.581673307</v>
      </c>
      <c r="AH235" s="180"/>
      <c r="AM235" s="218">
        <v>76</v>
      </c>
      <c r="BS235" s="218">
        <v>50.253837599999997</v>
      </c>
      <c r="BT235" s="180"/>
      <c r="BU235" s="218">
        <v>18.595798500000001</v>
      </c>
      <c r="BV235" s="180"/>
    </row>
    <row r="236" spans="1:74">
      <c r="A236" s="154" t="s">
        <v>7743</v>
      </c>
      <c r="B236" s="224" t="s">
        <v>257</v>
      </c>
      <c r="C236" s="224" t="s">
        <v>7988</v>
      </c>
      <c r="D236" s="224"/>
      <c r="E236" s="222">
        <v>9</v>
      </c>
      <c r="F236" s="225">
        <v>20</v>
      </c>
      <c r="G236" s="223"/>
      <c r="I236" s="253">
        <v>38</v>
      </c>
      <c r="S236" s="218">
        <v>1741.8484659999999</v>
      </c>
      <c r="T236" s="180"/>
      <c r="Y236" s="218">
        <v>659.21254209999995</v>
      </c>
      <c r="Z236" s="180"/>
      <c r="AA236" s="218">
        <v>74164.775550000006</v>
      </c>
      <c r="AB236" s="180"/>
      <c r="AC236" s="252">
        <v>35.055617589999997</v>
      </c>
      <c r="AD236" s="180"/>
      <c r="AG236" s="218">
        <v>4.7267206479999997</v>
      </c>
      <c r="AH236" s="180"/>
      <c r="AM236" s="218">
        <v>74</v>
      </c>
      <c r="BS236" s="218">
        <v>49.6881409</v>
      </c>
      <c r="BT236" s="180"/>
      <c r="BU236" s="218">
        <v>18.804761899999999</v>
      </c>
      <c r="BV236" s="180"/>
    </row>
    <row r="237" spans="1:74">
      <c r="A237" s="154" t="s">
        <v>7743</v>
      </c>
      <c r="B237" s="224" t="s">
        <v>257</v>
      </c>
      <c r="C237" s="224" t="s">
        <v>7989</v>
      </c>
      <c r="D237" s="224"/>
      <c r="E237" s="222">
        <v>16</v>
      </c>
      <c r="F237" s="225">
        <v>36</v>
      </c>
      <c r="G237" s="223"/>
      <c r="I237" s="253">
        <v>40</v>
      </c>
      <c r="S237" s="218">
        <v>1728.6324609999999</v>
      </c>
      <c r="T237" s="180"/>
      <c r="Y237" s="218">
        <v>638.34641190000002</v>
      </c>
      <c r="Z237" s="180"/>
      <c r="AA237" s="218">
        <v>75031.825779999999</v>
      </c>
      <c r="AB237" s="180"/>
      <c r="AC237" s="252">
        <v>34.561903999999998</v>
      </c>
      <c r="AD237" s="180"/>
      <c r="AG237" s="218">
        <v>4.6062992129999998</v>
      </c>
      <c r="AH237" s="180"/>
      <c r="AM237" s="218">
        <v>76</v>
      </c>
      <c r="BS237" s="218">
        <v>50.015544900000002</v>
      </c>
      <c r="BT237" s="180"/>
      <c r="BU237" s="218">
        <v>18.4696541</v>
      </c>
      <c r="BV237" s="180"/>
    </row>
    <row r="238" spans="1:74">
      <c r="A238" s="154" t="s">
        <v>7743</v>
      </c>
      <c r="B238" s="224" t="s">
        <v>259</v>
      </c>
      <c r="C238" s="224" t="s">
        <v>405</v>
      </c>
      <c r="D238" s="224"/>
      <c r="E238" s="222">
        <v>4</v>
      </c>
      <c r="F238" s="225">
        <v>34</v>
      </c>
      <c r="G238" s="223"/>
      <c r="I238" s="253">
        <v>40</v>
      </c>
      <c r="S238" s="218">
        <v>1700.023821</v>
      </c>
      <c r="T238" s="180"/>
      <c r="Y238" s="218">
        <v>690.26530219999995</v>
      </c>
      <c r="Z238" s="180"/>
      <c r="AA238" s="218">
        <v>72448.835659999997</v>
      </c>
      <c r="AB238" s="180"/>
      <c r="AC238" s="252">
        <v>34.760425820000002</v>
      </c>
      <c r="AD238" s="180"/>
      <c r="AG238" s="218">
        <v>4.7979274609999996</v>
      </c>
      <c r="AH238" s="180"/>
      <c r="AM238" s="218">
        <v>76</v>
      </c>
      <c r="BS238" s="218">
        <v>48.906875599999999</v>
      </c>
      <c r="BT238" s="180"/>
      <c r="BU238" s="218">
        <v>19.857791899999999</v>
      </c>
      <c r="BV238" s="180"/>
    </row>
    <row r="239" spans="1:74">
      <c r="A239" s="154" t="s">
        <v>7743</v>
      </c>
      <c r="B239" s="224" t="s">
        <v>259</v>
      </c>
      <c r="C239" s="224" t="s">
        <v>7987</v>
      </c>
      <c r="D239" s="224"/>
      <c r="E239" s="222">
        <v>8</v>
      </c>
      <c r="F239" s="225">
        <v>10</v>
      </c>
      <c r="G239" s="223"/>
      <c r="I239" s="253">
        <v>35</v>
      </c>
      <c r="S239" s="218">
        <v>1886.9038860000001</v>
      </c>
      <c r="T239" s="180"/>
      <c r="Y239" s="218">
        <v>754.74312499999996</v>
      </c>
      <c r="Z239" s="180"/>
      <c r="AA239" s="218">
        <v>81371.925929999998</v>
      </c>
      <c r="AB239" s="180"/>
      <c r="AC239" s="252">
        <v>38.588748379999998</v>
      </c>
      <c r="AD239" s="180"/>
      <c r="AG239" s="218">
        <v>4.742268041</v>
      </c>
      <c r="AH239" s="180"/>
      <c r="AM239" s="218">
        <v>81</v>
      </c>
      <c r="BS239" s="218">
        <v>48.897773700000002</v>
      </c>
      <c r="BT239" s="180"/>
      <c r="BU239" s="218">
        <v>19.558631900000002</v>
      </c>
      <c r="BV239" s="180"/>
    </row>
    <row r="240" spans="1:74">
      <c r="A240" s="154" t="s">
        <v>7743</v>
      </c>
      <c r="B240" s="224" t="s">
        <v>259</v>
      </c>
      <c r="C240" s="224" t="s">
        <v>7988</v>
      </c>
      <c r="D240" s="224"/>
      <c r="E240" s="223">
        <v>10</v>
      </c>
      <c r="F240" s="225">
        <v>37</v>
      </c>
      <c r="G240" s="223"/>
      <c r="I240" s="253">
        <v>42</v>
      </c>
      <c r="S240" s="218">
        <v>1603.781563</v>
      </c>
      <c r="T240" s="180"/>
      <c r="Y240" s="218">
        <v>626.29843080000001</v>
      </c>
      <c r="Z240" s="180"/>
      <c r="AA240" s="218">
        <v>69497.469060000003</v>
      </c>
      <c r="AB240" s="180"/>
      <c r="AC240" s="252">
        <v>32.57693862</v>
      </c>
      <c r="AD240" s="180"/>
      <c r="AG240" s="218">
        <v>4.6875</v>
      </c>
      <c r="AH240" s="180"/>
      <c r="AM240" s="218">
        <v>79</v>
      </c>
      <c r="BS240" s="218">
        <v>49.230579400000003</v>
      </c>
      <c r="BT240" s="180"/>
      <c r="BU240" s="218">
        <v>19.225208299999998</v>
      </c>
      <c r="BV240" s="180"/>
    </row>
    <row r="241" spans="1:74">
      <c r="A241" s="154" t="s">
        <v>7743</v>
      </c>
      <c r="B241" s="224" t="s">
        <v>259</v>
      </c>
      <c r="C241" s="224" t="s">
        <v>7989</v>
      </c>
      <c r="D241" s="224"/>
      <c r="E241" s="223">
        <v>14</v>
      </c>
      <c r="F241" s="225">
        <v>7</v>
      </c>
      <c r="G241" s="223"/>
      <c r="I241" s="253">
        <v>33</v>
      </c>
      <c r="S241" s="218">
        <v>1735.2081330000001</v>
      </c>
      <c r="T241" s="180"/>
      <c r="Y241" s="218">
        <v>724.74351079999997</v>
      </c>
      <c r="Z241" s="180"/>
      <c r="AA241" s="218">
        <v>76070.099350000004</v>
      </c>
      <c r="AB241" s="180"/>
      <c r="AC241" s="252">
        <v>36.061715460000002</v>
      </c>
      <c r="AD241" s="180"/>
      <c r="AG241" s="218">
        <v>4.740590031</v>
      </c>
      <c r="AH241" s="180"/>
      <c r="AM241" s="218">
        <v>76</v>
      </c>
      <c r="BS241" s="218">
        <v>48.117736800000003</v>
      </c>
      <c r="BT241" s="180"/>
      <c r="BU241" s="218">
        <v>20.097311000000001</v>
      </c>
      <c r="BV241" s="180"/>
    </row>
    <row r="242" spans="1:74">
      <c r="A242" s="154" t="s">
        <v>7744</v>
      </c>
      <c r="B242" s="224" t="s">
        <v>257</v>
      </c>
      <c r="C242" s="224" t="s">
        <v>405</v>
      </c>
      <c r="D242" s="224"/>
      <c r="E242" s="222">
        <v>4</v>
      </c>
      <c r="F242" s="225">
        <v>16</v>
      </c>
      <c r="G242" s="223"/>
      <c r="I242" s="253">
        <v>36</v>
      </c>
      <c r="S242" s="218">
        <v>1870.984101</v>
      </c>
      <c r="T242" s="180"/>
      <c r="Y242" s="218">
        <v>657.41892359999997</v>
      </c>
      <c r="Z242" s="180"/>
      <c r="AA242" s="218">
        <v>73518.238419999994</v>
      </c>
      <c r="AB242" s="180"/>
      <c r="AC242" s="252">
        <v>36.838512559999998</v>
      </c>
      <c r="AD242" s="180"/>
      <c r="AG242" s="218">
        <v>5.0107991360000002</v>
      </c>
      <c r="AH242" s="180"/>
      <c r="AM242" s="218">
        <v>76</v>
      </c>
      <c r="BS242" s="218">
        <v>50.788806899999997</v>
      </c>
      <c r="BT242" s="180"/>
      <c r="BU242" s="218">
        <v>17.845968200000002</v>
      </c>
      <c r="BV242" s="180"/>
    </row>
    <row r="243" spans="1:74">
      <c r="A243" s="154" t="s">
        <v>7744</v>
      </c>
      <c r="B243" s="224" t="s">
        <v>257</v>
      </c>
      <c r="C243" s="224" t="s">
        <v>7987</v>
      </c>
      <c r="D243" s="224"/>
      <c r="E243" s="222">
        <v>6</v>
      </c>
      <c r="F243" s="225">
        <v>57</v>
      </c>
      <c r="G243" s="223"/>
      <c r="I243" s="253">
        <v>39</v>
      </c>
      <c r="S243" s="218">
        <v>1575.6326340000001</v>
      </c>
      <c r="T243" s="180"/>
      <c r="Y243" s="218">
        <v>551.16659149999998</v>
      </c>
      <c r="Z243" s="180"/>
      <c r="AA243" s="218">
        <v>68066.72421</v>
      </c>
      <c r="AB243" s="180"/>
      <c r="AC243" s="252">
        <v>31.277624280000001</v>
      </c>
      <c r="AD243" s="180"/>
      <c r="AG243" s="218">
        <v>4.5951417000000001</v>
      </c>
      <c r="AH243" s="180"/>
      <c r="AM243" s="218">
        <v>81</v>
      </c>
      <c r="BS243" s="218">
        <v>50.375713300000001</v>
      </c>
      <c r="BT243" s="180"/>
      <c r="BU243" s="218">
        <v>17.621753699999999</v>
      </c>
      <c r="BV243" s="180"/>
    </row>
    <row r="244" spans="1:74">
      <c r="A244" s="154" t="s">
        <v>7744</v>
      </c>
      <c r="B244" s="224" t="s">
        <v>257</v>
      </c>
      <c r="C244" s="224" t="s">
        <v>7988</v>
      </c>
      <c r="D244" s="224"/>
      <c r="E244" s="222">
        <v>9</v>
      </c>
      <c r="F244" s="225">
        <v>14</v>
      </c>
      <c r="G244" s="223"/>
      <c r="I244" s="253">
        <v>40</v>
      </c>
      <c r="S244" s="218">
        <v>1499.2867100000001</v>
      </c>
      <c r="T244" s="180"/>
      <c r="Y244" s="218">
        <v>539.50853700000005</v>
      </c>
      <c r="Z244" s="180"/>
      <c r="AA244" s="218">
        <v>58487.40741</v>
      </c>
      <c r="AB244" s="180"/>
      <c r="AC244" s="252">
        <v>29.78821954</v>
      </c>
      <c r="AD244" s="180"/>
      <c r="AG244" s="218">
        <v>5.0930996710000001</v>
      </c>
      <c r="AH244" s="180"/>
      <c r="AM244" s="218">
        <v>81</v>
      </c>
      <c r="BS244" s="218">
        <v>50.331531499999997</v>
      </c>
      <c r="BT244" s="180"/>
      <c r="BU244" s="218">
        <v>18.111473100000001</v>
      </c>
      <c r="BV244" s="180"/>
    </row>
    <row r="245" spans="1:74">
      <c r="A245" s="154" t="s">
        <v>7744</v>
      </c>
      <c r="B245" s="224" t="s">
        <v>257</v>
      </c>
      <c r="C245" s="224" t="s">
        <v>7989</v>
      </c>
      <c r="D245" s="224"/>
      <c r="E245" s="222">
        <v>15</v>
      </c>
      <c r="F245" s="225">
        <v>51</v>
      </c>
      <c r="G245" s="223"/>
      <c r="I245" s="253">
        <v>34</v>
      </c>
      <c r="S245" s="218">
        <v>1988.8267949999999</v>
      </c>
      <c r="T245" s="180"/>
      <c r="Y245" s="218">
        <v>686.17778029999999</v>
      </c>
      <c r="Z245" s="180"/>
      <c r="AA245" s="218">
        <v>78297.131469999993</v>
      </c>
      <c r="AB245" s="180"/>
      <c r="AC245" s="252">
        <v>39.065270920000003</v>
      </c>
      <c r="AD245" s="180"/>
      <c r="AG245" s="218">
        <v>4.9893617020000001</v>
      </c>
      <c r="AH245" s="180"/>
      <c r="AM245" s="218">
        <v>81</v>
      </c>
      <c r="BS245" s="218">
        <v>50.910354599999998</v>
      </c>
      <c r="BT245" s="180"/>
      <c r="BU245" s="218">
        <v>17.564905199999998</v>
      </c>
      <c r="BV245" s="180"/>
    </row>
    <row r="246" spans="1:74">
      <c r="A246" s="154" t="s">
        <v>7744</v>
      </c>
      <c r="B246" s="224" t="s">
        <v>259</v>
      </c>
      <c r="C246" s="224" t="s">
        <v>405</v>
      </c>
      <c r="D246" s="224"/>
      <c r="E246" s="223">
        <v>3</v>
      </c>
      <c r="F246" s="225">
        <v>47</v>
      </c>
      <c r="G246" s="223"/>
      <c r="I246" s="253">
        <v>40</v>
      </c>
      <c r="S246" s="218">
        <v>1686.7309849999999</v>
      </c>
      <c r="T246" s="180"/>
      <c r="Y246" s="218">
        <v>610.6153468</v>
      </c>
      <c r="Z246" s="180"/>
      <c r="AA246" s="218">
        <v>67265.638219999993</v>
      </c>
      <c r="AB246" s="180"/>
      <c r="AC246" s="252">
        <v>33.418597329999997</v>
      </c>
      <c r="AD246" s="180"/>
      <c r="AG246" s="218">
        <v>4.9681528659999996</v>
      </c>
      <c r="AH246" s="180"/>
      <c r="AM246" s="218">
        <v>79</v>
      </c>
      <c r="BS246" s="218">
        <v>50.472824099999997</v>
      </c>
      <c r="BT246" s="180"/>
      <c r="BU246" s="218">
        <v>18.271722799999999</v>
      </c>
      <c r="BV246" s="180"/>
    </row>
    <row r="247" spans="1:74">
      <c r="A247" s="154" t="s">
        <v>7744</v>
      </c>
      <c r="B247" s="224" t="s">
        <v>259</v>
      </c>
      <c r="C247" s="224" t="s">
        <v>7987</v>
      </c>
      <c r="D247" s="224"/>
      <c r="E247" s="223">
        <v>6</v>
      </c>
      <c r="F247" s="225">
        <v>20</v>
      </c>
      <c r="G247" s="223"/>
      <c r="I247" s="253">
        <v>36</v>
      </c>
      <c r="S247" s="218">
        <v>2009.8296210000001</v>
      </c>
      <c r="T247" s="180"/>
      <c r="Y247" s="218">
        <v>729.77009710000004</v>
      </c>
      <c r="Z247" s="180"/>
      <c r="AA247" s="218">
        <v>80674.787670000005</v>
      </c>
      <c r="AB247" s="180"/>
      <c r="AC247" s="252">
        <v>39.991891529999997</v>
      </c>
      <c r="AD247" s="180"/>
      <c r="AG247" s="218">
        <v>4.9571734479999998</v>
      </c>
      <c r="AH247" s="180"/>
      <c r="AM247" s="218">
        <v>81</v>
      </c>
      <c r="BS247" s="218">
        <v>50.255927999999997</v>
      </c>
      <c r="BT247" s="180"/>
      <c r="BU247" s="218">
        <v>18.247951499999999</v>
      </c>
      <c r="BV247" s="180"/>
    </row>
    <row r="248" spans="1:74">
      <c r="A248" s="154" t="s">
        <v>7744</v>
      </c>
      <c r="B248" s="224" t="s">
        <v>259</v>
      </c>
      <c r="C248" s="224" t="s">
        <v>7988</v>
      </c>
      <c r="D248" s="224"/>
      <c r="E248" s="222">
        <v>10</v>
      </c>
      <c r="F248" s="225">
        <v>44</v>
      </c>
      <c r="G248" s="223"/>
      <c r="I248" s="253">
        <v>43</v>
      </c>
      <c r="S248" s="218">
        <v>2053.0384330000002</v>
      </c>
      <c r="T248" s="180"/>
      <c r="Y248" s="218">
        <v>747.62142159999996</v>
      </c>
      <c r="Z248" s="180"/>
      <c r="AA248" s="218">
        <v>89847.674660000004</v>
      </c>
      <c r="AB248" s="180"/>
      <c r="AC248" s="252">
        <v>41.385469280000002</v>
      </c>
      <c r="AD248" s="180"/>
      <c r="AG248" s="218">
        <v>4.6061814559999998</v>
      </c>
      <c r="AH248" s="180"/>
      <c r="AM248" s="218">
        <v>81</v>
      </c>
      <c r="BS248" s="218">
        <v>49.607711799999997</v>
      </c>
      <c r="BT248" s="180"/>
      <c r="BU248" s="218">
        <v>18.064828899999998</v>
      </c>
      <c r="BV248" s="180"/>
    </row>
    <row r="249" spans="1:74">
      <c r="A249" s="154" t="s">
        <v>7744</v>
      </c>
      <c r="B249" s="224" t="s">
        <v>259</v>
      </c>
      <c r="C249" s="224" t="s">
        <v>7989</v>
      </c>
      <c r="D249" s="224"/>
      <c r="E249" s="222">
        <v>16</v>
      </c>
      <c r="F249" s="225">
        <v>1</v>
      </c>
      <c r="G249" s="223"/>
      <c r="I249" s="253">
        <v>29</v>
      </c>
      <c r="S249" s="218">
        <v>1680.7743419999999</v>
      </c>
      <c r="T249" s="180"/>
      <c r="Y249" s="218">
        <v>713.91266710000002</v>
      </c>
      <c r="Z249" s="180"/>
      <c r="AA249" s="218">
        <v>70398.772670000006</v>
      </c>
      <c r="AB249" s="180"/>
      <c r="AC249" s="252">
        <v>34.786159810000001</v>
      </c>
      <c r="AD249" s="180"/>
      <c r="AG249" s="218">
        <v>4.941302028</v>
      </c>
      <c r="AH249" s="180"/>
      <c r="AM249" s="218">
        <v>83</v>
      </c>
      <c r="BS249" s="218">
        <v>48.317329399999998</v>
      </c>
      <c r="BT249" s="180"/>
      <c r="BU249" s="218">
        <v>20.5228939</v>
      </c>
      <c r="BV249" s="180"/>
    </row>
    <row r="250" spans="1:74">
      <c r="A250" s="154" t="s">
        <v>7745</v>
      </c>
      <c r="B250" s="224" t="s">
        <v>257</v>
      </c>
      <c r="C250" s="224" t="s">
        <v>405</v>
      </c>
      <c r="D250" s="224"/>
      <c r="E250" s="222">
        <v>1</v>
      </c>
      <c r="F250" s="225">
        <v>7</v>
      </c>
      <c r="G250" s="223"/>
      <c r="I250" s="253">
        <v>35</v>
      </c>
      <c r="S250" s="218">
        <v>1266.5218400000001</v>
      </c>
      <c r="T250" s="180"/>
      <c r="Y250" s="218">
        <v>471.48022950000001</v>
      </c>
      <c r="Z250" s="180"/>
      <c r="AA250" s="218">
        <v>55958.46243</v>
      </c>
      <c r="AB250" s="180"/>
      <c r="AC250" s="252">
        <v>25.543901609999999</v>
      </c>
      <c r="AD250" s="180"/>
      <c r="AG250" s="218">
        <v>4.5647969049999997</v>
      </c>
      <c r="AH250" s="180"/>
      <c r="AM250" s="218">
        <v>89</v>
      </c>
      <c r="BS250" s="218">
        <v>49.325721700000003</v>
      </c>
      <c r="BT250" s="180"/>
      <c r="BU250" s="218">
        <v>18.4576435</v>
      </c>
      <c r="BV250" s="180"/>
    </row>
    <row r="251" spans="1:74">
      <c r="A251" s="154" t="s">
        <v>7745</v>
      </c>
      <c r="B251" s="224" t="s">
        <v>257</v>
      </c>
      <c r="C251" s="224" t="s">
        <v>7987</v>
      </c>
      <c r="D251" s="224"/>
      <c r="E251" s="222">
        <v>7</v>
      </c>
      <c r="F251" s="225">
        <v>59</v>
      </c>
      <c r="G251" s="223"/>
      <c r="I251" s="253">
        <v>33</v>
      </c>
      <c r="S251" s="218">
        <v>1576.258319</v>
      </c>
      <c r="T251" s="180"/>
      <c r="Y251" s="218">
        <v>547.98772210000004</v>
      </c>
      <c r="Z251" s="180"/>
      <c r="AA251" s="218">
        <v>67559.174880000006</v>
      </c>
      <c r="AB251" s="180"/>
      <c r="AC251" s="252">
        <v>30.793179909999999</v>
      </c>
      <c r="AD251" s="180"/>
      <c r="AG251" s="218">
        <v>4.5579567780000003</v>
      </c>
      <c r="AH251" s="180"/>
      <c r="AM251" s="218">
        <v>92</v>
      </c>
      <c r="BS251" s="218">
        <v>51.188552899999998</v>
      </c>
      <c r="BT251" s="180"/>
      <c r="BU251" s="218">
        <v>17.795749699999998</v>
      </c>
      <c r="BV251" s="180"/>
    </row>
    <row r="252" spans="1:74">
      <c r="A252" s="154" t="s">
        <v>7745</v>
      </c>
      <c r="B252" s="224" t="s">
        <v>257</v>
      </c>
      <c r="C252" s="224" t="s">
        <v>7988</v>
      </c>
      <c r="D252" s="224"/>
      <c r="E252" s="223">
        <v>12</v>
      </c>
      <c r="F252" s="225">
        <v>17</v>
      </c>
      <c r="G252" s="223"/>
      <c r="I252" s="253">
        <v>32</v>
      </c>
      <c r="S252" s="218">
        <v>1680.795251</v>
      </c>
      <c r="T252" s="180"/>
      <c r="Y252" s="218">
        <v>574.8812034</v>
      </c>
      <c r="Z252" s="180"/>
      <c r="AA252" s="218">
        <v>74453.767819999994</v>
      </c>
      <c r="AB252" s="180"/>
      <c r="AC252" s="252">
        <v>32.847250510000002</v>
      </c>
      <c r="AD252" s="180"/>
      <c r="AG252" s="218">
        <v>4.4117647059999996</v>
      </c>
      <c r="AH252" s="180"/>
      <c r="AM252" s="218">
        <v>89</v>
      </c>
      <c r="BS252" s="218">
        <v>51.170043900000003</v>
      </c>
      <c r="BT252" s="180"/>
      <c r="BU252" s="218">
        <v>17.501653699999999</v>
      </c>
      <c r="BV252" s="180"/>
    </row>
    <row r="253" spans="1:74">
      <c r="A253" s="154" t="s">
        <v>7745</v>
      </c>
      <c r="B253" s="224" t="s">
        <v>257</v>
      </c>
      <c r="C253" s="224" t="s">
        <v>7989</v>
      </c>
      <c r="D253" s="224"/>
      <c r="E253" s="223">
        <v>13</v>
      </c>
      <c r="F253" s="225">
        <v>41</v>
      </c>
      <c r="G253" s="223"/>
      <c r="I253" s="253">
        <v>43</v>
      </c>
      <c r="S253" s="218">
        <v>1663.348784</v>
      </c>
      <c r="T253" s="180"/>
      <c r="Y253" s="218">
        <v>579.86153969999998</v>
      </c>
      <c r="Z253" s="180"/>
      <c r="AA253" s="218">
        <v>73871.897500000006</v>
      </c>
      <c r="AB253" s="180"/>
      <c r="AC253" s="252">
        <v>32.645937709999998</v>
      </c>
      <c r="AD253" s="180"/>
      <c r="AG253" s="218">
        <v>4.4192634560000004</v>
      </c>
      <c r="AH253" s="180"/>
      <c r="AM253" s="218">
        <v>92</v>
      </c>
      <c r="BS253" s="218">
        <v>50.951171899999999</v>
      </c>
      <c r="BT253" s="180"/>
      <c r="BU253" s="218">
        <v>17.7621346</v>
      </c>
      <c r="BV253" s="180"/>
    </row>
    <row r="254" spans="1:74">
      <c r="A254" s="154" t="s">
        <v>7745</v>
      </c>
      <c r="B254" s="224" t="s">
        <v>259</v>
      </c>
      <c r="C254" s="224" t="s">
        <v>405</v>
      </c>
      <c r="D254" s="224"/>
      <c r="E254" s="222">
        <v>1</v>
      </c>
      <c r="F254" s="225">
        <v>61</v>
      </c>
      <c r="G254" s="223"/>
      <c r="I254" s="253">
        <v>41</v>
      </c>
      <c r="S254" s="218">
        <v>1664.4199980000001</v>
      </c>
      <c r="T254" s="180"/>
      <c r="Y254" s="218">
        <v>574.96364029999995</v>
      </c>
      <c r="Z254" s="180"/>
      <c r="AA254" s="218">
        <v>71548.165540000002</v>
      </c>
      <c r="AB254" s="180"/>
      <c r="AC254" s="252">
        <v>32.158056739999999</v>
      </c>
      <c r="AD254" s="180"/>
      <c r="AG254" s="218">
        <v>4.4946025519999999</v>
      </c>
      <c r="AH254" s="180"/>
      <c r="AM254" s="218">
        <v>92</v>
      </c>
      <c r="BS254" s="218">
        <v>51.757480600000001</v>
      </c>
      <c r="BT254" s="180"/>
      <c r="BU254" s="218">
        <v>17.879303</v>
      </c>
      <c r="BV254" s="180"/>
    </row>
    <row r="255" spans="1:74">
      <c r="A255" s="154" t="s">
        <v>7745</v>
      </c>
      <c r="B255" s="224" t="s">
        <v>259</v>
      </c>
      <c r="C255" s="224" t="s">
        <v>7987</v>
      </c>
      <c r="D255" s="224"/>
      <c r="E255" s="222">
        <v>7</v>
      </c>
      <c r="F255" s="225">
        <v>19</v>
      </c>
      <c r="G255" s="223"/>
      <c r="I255" s="253">
        <v>32</v>
      </c>
      <c r="S255" s="218">
        <v>1810.807718</v>
      </c>
      <c r="T255" s="180"/>
      <c r="Y255" s="218">
        <v>688.41290249999997</v>
      </c>
      <c r="Z255" s="180"/>
      <c r="AA255" s="218">
        <v>75404.141619999995</v>
      </c>
      <c r="AB255" s="180"/>
      <c r="AC255" s="252">
        <v>36.01962546</v>
      </c>
      <c r="AD255" s="180"/>
      <c r="AG255" s="218">
        <v>4.7768762679999996</v>
      </c>
      <c r="AH255" s="180"/>
      <c r="AM255" s="218">
        <v>92</v>
      </c>
      <c r="BS255" s="218">
        <v>50.272808099999999</v>
      </c>
      <c r="BT255" s="180"/>
      <c r="BU255" s="218">
        <v>19.1121616</v>
      </c>
      <c r="BV255" s="180"/>
    </row>
    <row r="256" spans="1:74">
      <c r="A256" s="154" t="s">
        <v>7745</v>
      </c>
      <c r="B256" s="224" t="s">
        <v>259</v>
      </c>
      <c r="C256" s="224" t="s">
        <v>7988</v>
      </c>
      <c r="D256" s="224"/>
      <c r="E256" s="222">
        <v>9</v>
      </c>
      <c r="F256" s="225">
        <v>38</v>
      </c>
      <c r="G256" s="223"/>
      <c r="I256" s="253">
        <v>42</v>
      </c>
      <c r="S256" s="218">
        <v>1922.4169280000001</v>
      </c>
      <c r="T256" s="180"/>
      <c r="Y256" s="218">
        <v>696.42733490000001</v>
      </c>
      <c r="Z256" s="180"/>
      <c r="AA256" s="218">
        <v>82344.735079999999</v>
      </c>
      <c r="AB256" s="180"/>
      <c r="AC256" s="252">
        <v>38.125612340000004</v>
      </c>
      <c r="AD256" s="180"/>
      <c r="AG256" s="218">
        <v>4.63</v>
      </c>
      <c r="AH256" s="180"/>
      <c r="AM256" s="218">
        <v>92</v>
      </c>
      <c r="BS256" s="218">
        <v>50.423240700000001</v>
      </c>
      <c r="BT256" s="180"/>
      <c r="BU256" s="218">
        <v>18.266653099999999</v>
      </c>
      <c r="BV256" s="180"/>
    </row>
    <row r="257" spans="1:74">
      <c r="A257" s="154" t="s">
        <v>7745</v>
      </c>
      <c r="B257" s="224" t="s">
        <v>259</v>
      </c>
      <c r="C257" s="224" t="s">
        <v>7989</v>
      </c>
      <c r="D257" s="224"/>
      <c r="E257" s="222">
        <v>13</v>
      </c>
      <c r="F257" s="225">
        <v>32</v>
      </c>
      <c r="G257" s="223"/>
      <c r="I257" s="253">
        <v>38</v>
      </c>
      <c r="S257" s="218">
        <v>2033.064633</v>
      </c>
      <c r="T257" s="180"/>
      <c r="Y257" s="218">
        <v>738.84415850000005</v>
      </c>
      <c r="Z257" s="180"/>
      <c r="AA257" s="218">
        <v>92422.055200000003</v>
      </c>
      <c r="AB257" s="180"/>
      <c r="AC257" s="252">
        <v>40.313620270000001</v>
      </c>
      <c r="AD257" s="180"/>
      <c r="AG257" s="218">
        <v>4.361904762</v>
      </c>
      <c r="AH257" s="180"/>
      <c r="AM257" s="218">
        <v>92</v>
      </c>
      <c r="BS257" s="218">
        <v>50.431209600000003</v>
      </c>
      <c r="BT257" s="180"/>
      <c r="BU257" s="218">
        <v>18.3274078</v>
      </c>
      <c r="BV257" s="180"/>
    </row>
    <row r="258" spans="1:74">
      <c r="A258" s="154" t="s">
        <v>7862</v>
      </c>
      <c r="B258" s="224" t="s">
        <v>257</v>
      </c>
      <c r="C258" s="224" t="s">
        <v>405</v>
      </c>
      <c r="D258" s="224"/>
      <c r="E258" s="222">
        <v>4</v>
      </c>
      <c r="F258" s="225">
        <v>3</v>
      </c>
      <c r="G258" s="223"/>
      <c r="I258" s="253">
        <v>36</v>
      </c>
      <c r="S258" s="218">
        <v>1417.263238</v>
      </c>
      <c r="T258" s="180"/>
      <c r="Y258" s="218">
        <v>552.96387919999995</v>
      </c>
      <c r="Z258" s="180"/>
      <c r="AA258" s="218">
        <v>62750.833899999998</v>
      </c>
      <c r="AB258" s="180"/>
      <c r="AC258" s="252">
        <v>28.329259969999999</v>
      </c>
      <c r="AD258" s="180"/>
      <c r="AG258" s="218">
        <v>4.5145631069999999</v>
      </c>
      <c r="AH258" s="180"/>
      <c r="AM258" s="218">
        <v>101</v>
      </c>
      <c r="BS258" s="218">
        <v>50.028247800000003</v>
      </c>
      <c r="BT258" s="180"/>
      <c r="BU258" s="218">
        <v>19.519178400000001</v>
      </c>
      <c r="BV258" s="180"/>
    </row>
    <row r="259" spans="1:74">
      <c r="A259" s="154" t="s">
        <v>7862</v>
      </c>
      <c r="B259" s="224" t="s">
        <v>257</v>
      </c>
      <c r="C259" s="224" t="s">
        <v>7987</v>
      </c>
      <c r="D259" s="224"/>
      <c r="E259" s="223">
        <v>7</v>
      </c>
      <c r="F259" s="225">
        <v>61</v>
      </c>
      <c r="G259" s="223"/>
      <c r="I259" s="253">
        <v>34</v>
      </c>
      <c r="S259" s="218">
        <v>1525.0537609999999</v>
      </c>
      <c r="T259" s="180"/>
      <c r="Y259" s="218">
        <v>557.34802969999998</v>
      </c>
      <c r="Z259" s="180"/>
      <c r="AA259" s="218">
        <v>71215.678570000004</v>
      </c>
      <c r="AB259" s="180"/>
      <c r="AC259" s="252">
        <v>30.047163009999998</v>
      </c>
      <c r="AD259" s="180"/>
      <c r="AG259" s="218">
        <v>4.219178082</v>
      </c>
      <c r="AH259" s="180"/>
      <c r="AM259" s="218">
        <v>107</v>
      </c>
      <c r="BS259" s="218">
        <v>50.755332899999999</v>
      </c>
      <c r="BT259" s="180"/>
      <c r="BU259" s="218">
        <v>18.549106600000002</v>
      </c>
      <c r="BV259" s="180"/>
    </row>
    <row r="260" spans="1:74">
      <c r="A260" s="154" t="s">
        <v>7862</v>
      </c>
      <c r="B260" s="224" t="s">
        <v>257</v>
      </c>
      <c r="C260" s="224" t="s">
        <v>7988</v>
      </c>
      <c r="D260" s="224"/>
      <c r="E260" s="222">
        <v>11</v>
      </c>
      <c r="F260" s="225">
        <v>21</v>
      </c>
      <c r="G260" s="223"/>
      <c r="I260" s="253">
        <v>36</v>
      </c>
      <c r="S260" s="218">
        <v>1833.5844279999999</v>
      </c>
      <c r="T260" s="180"/>
      <c r="Y260" s="218">
        <v>705.38484159999996</v>
      </c>
      <c r="Z260" s="180"/>
      <c r="AA260" s="218">
        <v>80555.03297</v>
      </c>
      <c r="AB260" s="180"/>
      <c r="AC260" s="252">
        <v>36.537180149999998</v>
      </c>
      <c r="AD260" s="180"/>
      <c r="AG260" s="218">
        <v>4.5356793739999999</v>
      </c>
      <c r="AH260" s="180"/>
      <c r="AM260" s="218">
        <v>105</v>
      </c>
      <c r="BS260" s="218">
        <v>50.184070599999998</v>
      </c>
      <c r="BT260" s="180"/>
      <c r="BU260" s="218">
        <v>19.3059464</v>
      </c>
      <c r="BV260" s="180"/>
    </row>
    <row r="261" spans="1:74">
      <c r="A261" s="154" t="s">
        <v>7862</v>
      </c>
      <c r="B261" s="224" t="s">
        <v>257</v>
      </c>
      <c r="C261" s="224" t="s">
        <v>7989</v>
      </c>
      <c r="D261" s="224"/>
      <c r="E261" s="222">
        <v>16</v>
      </c>
      <c r="F261" s="225">
        <v>56</v>
      </c>
      <c r="G261" s="223"/>
      <c r="I261" s="253">
        <v>33</v>
      </c>
      <c r="S261" s="218">
        <v>1679.9032979999999</v>
      </c>
      <c r="T261" s="180"/>
      <c r="Y261" s="218">
        <v>673.45628309999995</v>
      </c>
      <c r="Z261" s="180"/>
      <c r="AA261" s="218">
        <v>78042.583190000005</v>
      </c>
      <c r="AB261" s="180"/>
      <c r="AC261" s="252">
        <v>34.374143449999998</v>
      </c>
      <c r="AD261" s="180"/>
      <c r="AG261" s="218">
        <v>4.4045368619999996</v>
      </c>
      <c r="AH261" s="180"/>
      <c r="AM261" s="218">
        <v>107</v>
      </c>
      <c r="BS261" s="218">
        <v>48.871131900000002</v>
      </c>
      <c r="BT261" s="180"/>
      <c r="BU261" s="218">
        <v>19.591943700000002</v>
      </c>
      <c r="BV261" s="180"/>
    </row>
    <row r="262" spans="1:74">
      <c r="A262" s="154" t="s">
        <v>7862</v>
      </c>
      <c r="B262" s="224" t="s">
        <v>259</v>
      </c>
      <c r="C262" s="224" t="s">
        <v>405</v>
      </c>
      <c r="D262" s="224"/>
      <c r="E262" s="222">
        <v>4</v>
      </c>
      <c r="F262" s="225">
        <v>64</v>
      </c>
      <c r="G262" s="223"/>
      <c r="I262" s="253">
        <v>38</v>
      </c>
      <c r="S262" s="218" t="s">
        <v>7956</v>
      </c>
      <c r="T262" s="180"/>
      <c r="Y262" s="218" t="s">
        <v>7956</v>
      </c>
      <c r="Z262" s="180"/>
      <c r="AA262" s="218" t="s">
        <v>7956</v>
      </c>
      <c r="AB262" s="180"/>
      <c r="AC262" s="252" t="s">
        <v>7956</v>
      </c>
      <c r="AD262" s="180"/>
      <c r="AG262" s="218">
        <v>4.317548747</v>
      </c>
      <c r="AH262" s="180"/>
      <c r="AM262" s="218">
        <v>107</v>
      </c>
      <c r="BS262" s="218">
        <v>49.2257423</v>
      </c>
      <c r="BT262" s="180"/>
      <c r="BU262" s="218">
        <v>19.787450799999998</v>
      </c>
      <c r="BV262" s="180"/>
    </row>
    <row r="263" spans="1:74">
      <c r="A263" s="154" t="s">
        <v>7862</v>
      </c>
      <c r="B263" s="224" t="s">
        <v>259</v>
      </c>
      <c r="C263" s="224" t="s">
        <v>7987</v>
      </c>
      <c r="D263" s="224"/>
      <c r="E263" s="222">
        <v>7</v>
      </c>
      <c r="F263" s="225">
        <v>26</v>
      </c>
      <c r="G263" s="223"/>
      <c r="I263" s="253">
        <v>34</v>
      </c>
      <c r="S263" s="218">
        <v>1534.297352</v>
      </c>
      <c r="T263" s="180"/>
      <c r="Y263" s="218">
        <v>599.8389727</v>
      </c>
      <c r="Z263" s="180"/>
      <c r="AA263" s="218">
        <v>66482.264939999994</v>
      </c>
      <c r="AB263" s="180"/>
      <c r="AC263" s="252">
        <v>30.786198540000001</v>
      </c>
      <c r="AD263" s="180"/>
      <c r="AG263" s="218">
        <v>4.6307385229999998</v>
      </c>
      <c r="AH263" s="180"/>
      <c r="AM263" s="218">
        <v>107</v>
      </c>
      <c r="BS263" s="218">
        <v>49.837181100000002</v>
      </c>
      <c r="BT263" s="180"/>
      <c r="BU263" s="218">
        <v>19.484022100000001</v>
      </c>
      <c r="BV263" s="180"/>
    </row>
    <row r="264" spans="1:74">
      <c r="A264" s="154" t="s">
        <v>7862</v>
      </c>
      <c r="B264" s="224" t="s">
        <v>259</v>
      </c>
      <c r="C264" s="224" t="s">
        <v>7988</v>
      </c>
      <c r="D264" s="224"/>
      <c r="E264" s="223">
        <v>11</v>
      </c>
      <c r="F264" s="225">
        <v>33</v>
      </c>
      <c r="G264" s="223"/>
      <c r="I264" s="253">
        <v>33</v>
      </c>
      <c r="S264" s="218" t="s">
        <v>7956</v>
      </c>
      <c r="T264" s="180"/>
      <c r="Y264" s="218" t="s">
        <v>7956</v>
      </c>
      <c r="Z264" s="180"/>
      <c r="AA264" s="218" t="s">
        <v>7956</v>
      </c>
      <c r="AB264" s="180"/>
      <c r="AC264" s="252" t="s">
        <v>7956</v>
      </c>
      <c r="AD264" s="180"/>
      <c r="AG264" s="218" t="s">
        <v>7956</v>
      </c>
      <c r="AH264" s="180"/>
      <c r="AM264" s="218">
        <v>107</v>
      </c>
      <c r="BS264" s="218" t="s">
        <v>7956</v>
      </c>
      <c r="BT264" s="180"/>
      <c r="BU264" s="218" t="s">
        <v>7956</v>
      </c>
      <c r="BV264" s="180"/>
    </row>
    <row r="265" spans="1:74">
      <c r="A265" s="154" t="s">
        <v>7862</v>
      </c>
      <c r="B265" s="224" t="s">
        <v>259</v>
      </c>
      <c r="C265" s="224" t="s">
        <v>7989</v>
      </c>
      <c r="D265" s="224"/>
      <c r="E265" s="223">
        <v>15</v>
      </c>
      <c r="F265" s="225">
        <v>17</v>
      </c>
      <c r="G265" s="223"/>
      <c r="I265" s="253">
        <v>34</v>
      </c>
      <c r="S265" s="218">
        <v>1572.928083</v>
      </c>
      <c r="T265" s="180"/>
      <c r="Y265" s="218">
        <v>597.6944416</v>
      </c>
      <c r="Z265" s="180"/>
      <c r="AA265" s="218">
        <v>68477.434670000002</v>
      </c>
      <c r="AB265" s="180"/>
      <c r="AC265" s="252">
        <v>31.077708439999999</v>
      </c>
      <c r="AD265" s="180"/>
      <c r="AG265" s="218">
        <v>4.538386783</v>
      </c>
      <c r="AH265" s="180"/>
      <c r="AM265" s="218">
        <v>107</v>
      </c>
      <c r="BS265" s="218">
        <v>50.612743399999999</v>
      </c>
      <c r="BT265" s="180"/>
      <c r="BU265" s="218">
        <v>19.232255899999998</v>
      </c>
      <c r="BV265" s="180"/>
    </row>
    <row r="266" spans="1:74">
      <c r="A266" s="154" t="s">
        <v>7746</v>
      </c>
      <c r="B266" s="224" t="s">
        <v>257</v>
      </c>
      <c r="C266" s="224" t="s">
        <v>405</v>
      </c>
      <c r="D266" s="224"/>
      <c r="E266" s="222">
        <v>1</v>
      </c>
      <c r="F266" s="225">
        <v>10</v>
      </c>
      <c r="G266" s="223"/>
      <c r="I266" s="253">
        <v>38</v>
      </c>
      <c r="S266" s="218">
        <v>1321.2505200000001</v>
      </c>
      <c r="T266" s="180"/>
      <c r="Y266" s="218">
        <v>513.87083070000006</v>
      </c>
      <c r="Z266" s="180"/>
      <c r="AA266" s="218">
        <v>50742.44197</v>
      </c>
      <c r="AB266" s="180"/>
      <c r="AC266" s="252">
        <v>26.528306700000002</v>
      </c>
      <c r="AD266" s="180"/>
      <c r="AG266" s="218">
        <v>5.2280311460000002</v>
      </c>
      <c r="AH266" s="180"/>
      <c r="AM266" s="218">
        <v>94</v>
      </c>
      <c r="BS266" s="218">
        <v>49.110744500000003</v>
      </c>
      <c r="BT266" s="180"/>
      <c r="BU266" s="218">
        <v>19.3706608</v>
      </c>
      <c r="BV266" s="180"/>
    </row>
    <row r="267" spans="1:74">
      <c r="A267" s="154" t="s">
        <v>7746</v>
      </c>
      <c r="B267" s="224" t="s">
        <v>257</v>
      </c>
      <c r="C267" s="224" t="s">
        <v>7987</v>
      </c>
      <c r="D267" s="224"/>
      <c r="E267" s="222">
        <v>5</v>
      </c>
      <c r="F267" s="225">
        <v>58</v>
      </c>
      <c r="G267" s="223"/>
      <c r="I267" s="253">
        <v>41</v>
      </c>
      <c r="S267" s="218">
        <v>1499.433524</v>
      </c>
      <c r="T267" s="180"/>
      <c r="Y267" s="218">
        <v>582.3974207</v>
      </c>
      <c r="Z267" s="180"/>
      <c r="AA267" s="218">
        <v>59238.205399999999</v>
      </c>
      <c r="AB267" s="180"/>
      <c r="AC267" s="252">
        <v>30.34151984</v>
      </c>
      <c r="AD267" s="180"/>
      <c r="AG267" s="218">
        <v>5.1219512199999997</v>
      </c>
      <c r="AH267" s="180"/>
      <c r="AM267" s="218">
        <v>92</v>
      </c>
      <c r="BS267" s="218">
        <v>49.418537100000002</v>
      </c>
      <c r="BT267" s="180"/>
      <c r="BU267" s="218">
        <v>19.1947346</v>
      </c>
      <c r="BV267" s="180"/>
    </row>
    <row r="268" spans="1:74">
      <c r="A268" s="154" t="s">
        <v>7746</v>
      </c>
      <c r="B268" s="224" t="s">
        <v>257</v>
      </c>
      <c r="C268" s="224" t="s">
        <v>7988</v>
      </c>
      <c r="D268" s="224"/>
      <c r="E268" s="222">
        <v>9</v>
      </c>
      <c r="F268" s="225">
        <v>5</v>
      </c>
      <c r="G268" s="223"/>
      <c r="I268" s="253">
        <v>32</v>
      </c>
      <c r="S268" s="218">
        <v>1235.630302</v>
      </c>
      <c r="T268" s="180"/>
      <c r="Y268" s="218">
        <v>476.9376752</v>
      </c>
      <c r="Z268" s="180"/>
      <c r="AA268" s="218">
        <v>48808.62081</v>
      </c>
      <c r="AB268" s="180"/>
      <c r="AC268" s="252">
        <v>24.99301088</v>
      </c>
      <c r="AD268" s="180"/>
      <c r="AG268" s="218">
        <v>5.120614035</v>
      </c>
      <c r="AH268" s="180"/>
      <c r="AM268" s="218">
        <v>92</v>
      </c>
      <c r="BS268" s="218">
        <v>49.439033500000001</v>
      </c>
      <c r="BT268" s="180"/>
      <c r="BU268" s="218">
        <v>19.082841899999998</v>
      </c>
      <c r="BV268" s="180"/>
    </row>
    <row r="269" spans="1:74">
      <c r="A269" s="154" t="s">
        <v>7746</v>
      </c>
      <c r="B269" s="224" t="s">
        <v>257</v>
      </c>
      <c r="C269" s="224" t="s">
        <v>7989</v>
      </c>
      <c r="D269" s="224"/>
      <c r="E269" s="222">
        <v>14</v>
      </c>
      <c r="F269" s="225">
        <v>48</v>
      </c>
      <c r="G269" s="223"/>
      <c r="I269" s="253">
        <v>33</v>
      </c>
      <c r="S269" s="218">
        <v>1718.676614</v>
      </c>
      <c r="T269" s="180"/>
      <c r="Y269" s="218">
        <v>661.38658250000003</v>
      </c>
      <c r="Z269" s="180"/>
      <c r="AA269" s="218">
        <v>71861.206430000006</v>
      </c>
      <c r="AB269" s="180"/>
      <c r="AC269" s="252">
        <v>34.773958669999999</v>
      </c>
      <c r="AD269" s="180"/>
      <c r="AG269" s="218">
        <v>4.8390446520000001</v>
      </c>
      <c r="AH269" s="180"/>
      <c r="AM269" s="218">
        <v>92</v>
      </c>
      <c r="BS269" s="218">
        <v>49.4242439</v>
      </c>
      <c r="BT269" s="180"/>
      <c r="BU269" s="218">
        <v>19.0195942</v>
      </c>
      <c r="BV269" s="180"/>
    </row>
    <row r="270" spans="1:74">
      <c r="A270" s="154" t="s">
        <v>7746</v>
      </c>
      <c r="B270" s="224" t="s">
        <v>259</v>
      </c>
      <c r="C270" s="224" t="s">
        <v>405</v>
      </c>
      <c r="D270" s="224"/>
      <c r="E270" s="223">
        <v>2</v>
      </c>
      <c r="F270" s="225">
        <v>56</v>
      </c>
      <c r="G270" s="223"/>
      <c r="I270" s="253">
        <v>40</v>
      </c>
      <c r="S270" s="218">
        <v>1820.2228689999999</v>
      </c>
      <c r="T270" s="180"/>
      <c r="Y270" s="218">
        <v>657.58450500000004</v>
      </c>
      <c r="Z270" s="180"/>
      <c r="AA270" s="218">
        <v>77028.151410000006</v>
      </c>
      <c r="AB270" s="180"/>
      <c r="AC270" s="252">
        <v>36.124087289999999</v>
      </c>
      <c r="AD270" s="180"/>
      <c r="AG270" s="218">
        <v>4.689725331</v>
      </c>
      <c r="AH270" s="180"/>
      <c r="AM270" s="218">
        <v>94</v>
      </c>
      <c r="BS270" s="218">
        <v>50.388065300000001</v>
      </c>
      <c r="BT270" s="180"/>
      <c r="BU270" s="218">
        <v>18.203491199999998</v>
      </c>
      <c r="BV270" s="180"/>
    </row>
    <row r="271" spans="1:74">
      <c r="A271" s="154" t="s">
        <v>7746</v>
      </c>
      <c r="B271" s="224" t="s">
        <v>259</v>
      </c>
      <c r="C271" s="224" t="s">
        <v>7987</v>
      </c>
      <c r="D271" s="224"/>
      <c r="E271" s="223">
        <v>5</v>
      </c>
      <c r="F271" s="225">
        <v>12</v>
      </c>
      <c r="G271" s="223"/>
      <c r="I271" s="253">
        <v>35</v>
      </c>
      <c r="S271" s="218">
        <v>1982.898445</v>
      </c>
      <c r="T271" s="180"/>
      <c r="Y271" s="218">
        <v>790.31799039999999</v>
      </c>
      <c r="Z271" s="180"/>
      <c r="AA271" s="218">
        <v>81918.619749999998</v>
      </c>
      <c r="AB271" s="180"/>
      <c r="AC271" s="252">
        <v>40.35569899</v>
      </c>
      <c r="AD271" s="180"/>
      <c r="AG271" s="218">
        <v>4.9263157890000002</v>
      </c>
      <c r="AH271" s="180"/>
      <c r="AM271" s="218">
        <v>92</v>
      </c>
      <c r="BS271" s="218">
        <v>49.135524699999998</v>
      </c>
      <c r="BT271" s="180"/>
      <c r="BU271" s="218">
        <v>19.583801300000001</v>
      </c>
      <c r="BV271" s="180"/>
    </row>
    <row r="272" spans="1:74">
      <c r="A272" s="154" t="s">
        <v>7746</v>
      </c>
      <c r="B272" s="224" t="s">
        <v>259</v>
      </c>
      <c r="C272" s="224" t="s">
        <v>7988</v>
      </c>
      <c r="D272" s="224"/>
      <c r="E272" s="222">
        <v>12</v>
      </c>
      <c r="F272" s="225">
        <v>53</v>
      </c>
      <c r="G272" s="223"/>
      <c r="I272" s="253">
        <v>43</v>
      </c>
      <c r="S272" s="218">
        <v>1883.7124920000001</v>
      </c>
      <c r="T272" s="180"/>
      <c r="Y272" s="218">
        <v>814.17544290000001</v>
      </c>
      <c r="Z272" s="180"/>
      <c r="AA272" s="218">
        <v>79831.070380000005</v>
      </c>
      <c r="AB272" s="180"/>
      <c r="AC272" s="252">
        <v>38.85956865</v>
      </c>
      <c r="AD272" s="180"/>
      <c r="AG272" s="218">
        <v>4.8677248679999998</v>
      </c>
      <c r="AH272" s="180"/>
      <c r="AM272" s="218">
        <v>94</v>
      </c>
      <c r="BS272" s="218">
        <v>48.474868800000003</v>
      </c>
      <c r="BT272" s="180"/>
      <c r="BU272" s="218">
        <v>20.951736499999999</v>
      </c>
      <c r="BV272" s="180"/>
    </row>
    <row r="273" spans="1:74">
      <c r="A273" s="154" t="s">
        <v>7746</v>
      </c>
      <c r="B273" s="224" t="s">
        <v>259</v>
      </c>
      <c r="C273" s="224" t="s">
        <v>7989</v>
      </c>
      <c r="D273" s="224"/>
      <c r="E273" s="222">
        <v>16</v>
      </c>
      <c r="F273" s="225">
        <v>24</v>
      </c>
      <c r="G273" s="223"/>
      <c r="I273" s="253">
        <v>31</v>
      </c>
      <c r="S273" s="218">
        <v>2009.115309</v>
      </c>
      <c r="T273" s="180"/>
      <c r="Y273" s="218">
        <v>836.91002949999995</v>
      </c>
      <c r="Z273" s="180"/>
      <c r="AA273" s="218">
        <v>79605.784280000007</v>
      </c>
      <c r="AB273" s="180"/>
      <c r="AC273" s="252">
        <v>41.038458640000002</v>
      </c>
      <c r="AD273" s="180"/>
      <c r="AG273" s="218">
        <v>5.1552106430000002</v>
      </c>
      <c r="AH273" s="180"/>
      <c r="AM273" s="218">
        <v>92</v>
      </c>
      <c r="BS273" s="218">
        <v>48.956890100000003</v>
      </c>
      <c r="BT273" s="180"/>
      <c r="BU273" s="218">
        <v>20.393310499999998</v>
      </c>
      <c r="BV273" s="180"/>
    </row>
    <row r="274" spans="1:74">
      <c r="A274" s="154" t="s">
        <v>7747</v>
      </c>
      <c r="B274" s="224" t="s">
        <v>257</v>
      </c>
      <c r="C274" s="224" t="s">
        <v>405</v>
      </c>
      <c r="D274" s="224"/>
      <c r="E274" s="222">
        <v>2</v>
      </c>
      <c r="F274" s="225">
        <v>15</v>
      </c>
      <c r="G274" s="223"/>
      <c r="I274" s="253">
        <v>34</v>
      </c>
      <c r="S274" s="218">
        <v>1213.4153429999999</v>
      </c>
      <c r="T274" s="180"/>
      <c r="Y274" s="218">
        <v>466.05143529999998</v>
      </c>
      <c r="Z274" s="180"/>
      <c r="AA274" s="218">
        <v>45022.731939999998</v>
      </c>
      <c r="AB274" s="180"/>
      <c r="AC274" s="252">
        <v>24.117376360000002</v>
      </c>
      <c r="AD274" s="180"/>
      <c r="AG274" s="218">
        <v>5.3567110040000001</v>
      </c>
      <c r="AH274" s="180"/>
      <c r="AM274" s="218">
        <v>101</v>
      </c>
      <c r="BS274" s="218">
        <v>50.312908200000003</v>
      </c>
      <c r="BT274" s="180"/>
      <c r="BU274" s="218">
        <v>19.3243008</v>
      </c>
      <c r="BV274" s="180"/>
    </row>
    <row r="275" spans="1:74">
      <c r="A275" s="154" t="s">
        <v>7747</v>
      </c>
      <c r="B275" s="224" t="s">
        <v>257</v>
      </c>
      <c r="C275" s="224" t="s">
        <v>7987</v>
      </c>
      <c r="D275" s="224"/>
      <c r="E275" s="222">
        <v>8</v>
      </c>
      <c r="F275" s="225">
        <v>48</v>
      </c>
      <c r="G275" s="223"/>
      <c r="I275" s="253">
        <v>40</v>
      </c>
      <c r="S275" s="218">
        <v>1449.3634730000001</v>
      </c>
      <c r="T275" s="180"/>
      <c r="Y275" s="218">
        <v>565.24407799999994</v>
      </c>
      <c r="Z275" s="180"/>
      <c r="AA275" s="218">
        <v>54110.094830000002</v>
      </c>
      <c r="AB275" s="180"/>
      <c r="AC275" s="252">
        <v>29.045303780000001</v>
      </c>
      <c r="AD275" s="180"/>
      <c r="AG275" s="218">
        <v>5.367816092</v>
      </c>
      <c r="AH275" s="180"/>
      <c r="AM275" s="218">
        <v>94</v>
      </c>
      <c r="BS275" s="218">
        <v>49.900096900000001</v>
      </c>
      <c r="BT275" s="180"/>
      <c r="BU275" s="218">
        <v>19.460773499999998</v>
      </c>
      <c r="BV275" s="180"/>
    </row>
    <row r="276" spans="1:74">
      <c r="A276" s="154" t="s">
        <v>7747</v>
      </c>
      <c r="B276" s="224" t="s">
        <v>257</v>
      </c>
      <c r="C276" s="224" t="s">
        <v>7988</v>
      </c>
      <c r="D276" s="224"/>
      <c r="E276" s="223">
        <v>10</v>
      </c>
      <c r="F276" s="225">
        <v>26</v>
      </c>
      <c r="G276" s="223"/>
      <c r="I276" s="253">
        <v>41</v>
      </c>
      <c r="S276" s="218">
        <v>1492.1455960000001</v>
      </c>
      <c r="T276" s="180"/>
      <c r="Y276" s="218">
        <v>568.89553230000001</v>
      </c>
      <c r="Z276" s="180"/>
      <c r="AA276" s="218">
        <v>54098.599219999996</v>
      </c>
      <c r="AB276" s="180"/>
      <c r="AC276" s="252">
        <v>29.27467652</v>
      </c>
      <c r="AD276" s="180"/>
      <c r="AG276" s="218">
        <v>5.411355736</v>
      </c>
      <c r="AH276" s="180"/>
      <c r="AM276" s="218">
        <v>99</v>
      </c>
      <c r="BS276" s="218">
        <v>50.970523800000002</v>
      </c>
      <c r="BT276" s="180"/>
      <c r="BU276" s="218">
        <v>19.433025399999998</v>
      </c>
      <c r="BV276" s="180"/>
    </row>
    <row r="277" spans="1:74">
      <c r="A277" s="154" t="s">
        <v>7747</v>
      </c>
      <c r="B277" s="224" t="s">
        <v>257</v>
      </c>
      <c r="C277" s="224" t="s">
        <v>7989</v>
      </c>
      <c r="D277" s="224"/>
      <c r="E277" s="223">
        <v>14</v>
      </c>
      <c r="F277" s="225">
        <v>53</v>
      </c>
      <c r="G277" s="223"/>
      <c r="I277" s="253">
        <v>37</v>
      </c>
      <c r="S277" s="218">
        <v>1577.994115</v>
      </c>
      <c r="T277" s="180"/>
      <c r="Y277" s="218">
        <v>627.46687169999996</v>
      </c>
      <c r="Z277" s="180"/>
      <c r="AA277" s="218">
        <v>59299.06321</v>
      </c>
      <c r="AB277" s="180"/>
      <c r="AC277" s="252">
        <v>31.39757655</v>
      </c>
      <c r="AD277" s="180"/>
      <c r="AG277" s="218">
        <v>5.29478458</v>
      </c>
      <c r="AH277" s="180"/>
      <c r="AM277" s="218">
        <v>101</v>
      </c>
      <c r="BS277" s="218">
        <v>50.2584686</v>
      </c>
      <c r="BT277" s="180"/>
      <c r="BU277" s="218">
        <v>19.9845638</v>
      </c>
      <c r="BV277" s="180"/>
    </row>
    <row r="278" spans="1:74">
      <c r="A278" s="154" t="s">
        <v>7747</v>
      </c>
      <c r="B278" s="224" t="s">
        <v>259</v>
      </c>
      <c r="C278" s="224" t="s">
        <v>405</v>
      </c>
      <c r="D278" s="224"/>
      <c r="E278" s="222">
        <v>2</v>
      </c>
      <c r="F278" s="225">
        <v>41</v>
      </c>
      <c r="G278" s="223"/>
      <c r="I278" s="253">
        <v>42</v>
      </c>
      <c r="S278" s="218">
        <v>1466.5548779999999</v>
      </c>
      <c r="T278" s="180"/>
      <c r="Y278" s="218">
        <v>626.98214670000004</v>
      </c>
      <c r="Z278" s="180"/>
      <c r="AA278" s="218">
        <v>60799.813609999997</v>
      </c>
      <c r="AB278" s="180"/>
      <c r="AC278" s="252">
        <v>30.56639041</v>
      </c>
      <c r="AD278" s="180"/>
      <c r="AG278" s="218">
        <v>5.0273822560000001</v>
      </c>
      <c r="AH278" s="180"/>
      <c r="AM278" s="218">
        <v>101</v>
      </c>
      <c r="BS278" s="218">
        <v>47.979328199999998</v>
      </c>
      <c r="BT278" s="180"/>
      <c r="BU278" s="218">
        <v>20.5121422</v>
      </c>
      <c r="BV278" s="180"/>
    </row>
    <row r="279" spans="1:74">
      <c r="A279" s="154" t="s">
        <v>7747</v>
      </c>
      <c r="B279" s="224" t="s">
        <v>259</v>
      </c>
      <c r="C279" s="224" t="s">
        <v>7987</v>
      </c>
      <c r="D279" s="224"/>
      <c r="E279" s="222">
        <v>5</v>
      </c>
      <c r="F279" s="225">
        <v>28</v>
      </c>
      <c r="G279" s="223"/>
      <c r="I279" s="253">
        <v>35</v>
      </c>
      <c r="S279" s="218">
        <v>1461.4244699999999</v>
      </c>
      <c r="T279" s="180"/>
      <c r="Y279" s="218">
        <v>558.66618879999999</v>
      </c>
      <c r="Z279" s="180"/>
      <c r="AA279" s="218">
        <v>53677.889320000002</v>
      </c>
      <c r="AB279" s="180"/>
      <c r="AC279" s="252">
        <v>29.458129849999999</v>
      </c>
      <c r="AD279" s="180"/>
      <c r="AG279" s="218">
        <v>5.4879448909999997</v>
      </c>
      <c r="AH279" s="180"/>
      <c r="AM279" s="218">
        <v>101</v>
      </c>
      <c r="BS279" s="218">
        <v>49.610225700000001</v>
      </c>
      <c r="BT279" s="180"/>
      <c r="BU279" s="218">
        <v>18.9647541</v>
      </c>
      <c r="BV279" s="180"/>
    </row>
    <row r="280" spans="1:74">
      <c r="A280" s="154" t="s">
        <v>7747</v>
      </c>
      <c r="B280" s="224" t="s">
        <v>259</v>
      </c>
      <c r="C280" s="224" t="s">
        <v>7988</v>
      </c>
      <c r="D280" s="224"/>
      <c r="E280" s="222">
        <v>9</v>
      </c>
      <c r="F280" s="225">
        <v>33</v>
      </c>
      <c r="G280" s="223"/>
      <c r="I280" s="253">
        <v>44</v>
      </c>
      <c r="S280" s="218">
        <v>1707.7741490000001</v>
      </c>
      <c r="T280" s="180"/>
      <c r="Y280" s="218">
        <v>655.86335059999999</v>
      </c>
      <c r="Z280" s="180"/>
      <c r="AA280" s="218">
        <v>73323.338329999999</v>
      </c>
      <c r="AB280" s="180"/>
      <c r="AC280" s="252">
        <v>33.655412290000001</v>
      </c>
      <c r="AD280" s="180"/>
      <c r="AG280" s="218">
        <v>4.59</v>
      </c>
      <c r="AH280" s="180"/>
      <c r="AM280" s="218">
        <v>99</v>
      </c>
      <c r="BS280" s="218">
        <v>50.742927600000002</v>
      </c>
      <c r="BT280" s="180"/>
      <c r="BU280" s="218">
        <v>19.487604099999999</v>
      </c>
      <c r="BV280" s="180"/>
    </row>
    <row r="281" spans="1:74">
      <c r="A281" s="154" t="s">
        <v>7747</v>
      </c>
      <c r="B281" s="224" t="s">
        <v>259</v>
      </c>
      <c r="C281" s="224" t="s">
        <v>7989</v>
      </c>
      <c r="D281" s="224"/>
      <c r="E281" s="222">
        <v>14</v>
      </c>
      <c r="F281" s="225">
        <v>20</v>
      </c>
      <c r="G281" s="223"/>
      <c r="I281" s="253">
        <v>29</v>
      </c>
      <c r="S281" s="218">
        <v>1445.828943</v>
      </c>
      <c r="T281" s="180"/>
      <c r="Y281" s="218">
        <v>588.63163359999999</v>
      </c>
      <c r="Z281" s="180"/>
      <c r="AA281" s="218">
        <v>55936.563759999997</v>
      </c>
      <c r="AB281" s="180"/>
      <c r="AC281" s="252">
        <v>29.396854730000001</v>
      </c>
      <c r="AD281" s="180"/>
      <c r="AG281" s="218">
        <v>5.2553916000000003</v>
      </c>
      <c r="AH281" s="180"/>
      <c r="AM281" s="218">
        <v>101</v>
      </c>
      <c r="BS281" s="218">
        <v>49.183116900000002</v>
      </c>
      <c r="BT281" s="180"/>
      <c r="BU281" s="218">
        <v>20.0236263</v>
      </c>
      <c r="BV281" s="180"/>
    </row>
    <row r="282" spans="1:74">
      <c r="A282" s="154" t="s">
        <v>7748</v>
      </c>
      <c r="B282" s="224" t="s">
        <v>257</v>
      </c>
      <c r="C282" s="224" t="s">
        <v>405</v>
      </c>
      <c r="D282" s="224"/>
      <c r="E282" s="223">
        <v>1</v>
      </c>
      <c r="F282" s="225">
        <v>12</v>
      </c>
      <c r="G282" s="223"/>
      <c r="I282" s="253">
        <v>35</v>
      </c>
      <c r="S282" s="218">
        <v>1715.1730689999999</v>
      </c>
      <c r="T282" s="180"/>
      <c r="Y282" s="218">
        <v>665.57319470000004</v>
      </c>
      <c r="Z282" s="180"/>
      <c r="AA282" s="218">
        <v>75155.895040000003</v>
      </c>
      <c r="AB282" s="180"/>
      <c r="AC282" s="252">
        <v>34.471109339999998</v>
      </c>
      <c r="AD282" s="180"/>
      <c r="AG282" s="218">
        <v>4.5866141730000001</v>
      </c>
      <c r="AH282" s="180"/>
      <c r="AM282" s="218">
        <v>92</v>
      </c>
      <c r="BS282" s="218">
        <v>48.741298700000002</v>
      </c>
      <c r="BT282" s="180"/>
      <c r="BU282" s="218">
        <v>19.308145499999998</v>
      </c>
      <c r="BV282" s="180"/>
    </row>
    <row r="283" spans="1:74">
      <c r="A283" s="154" t="s">
        <v>7748</v>
      </c>
      <c r="B283" s="224" t="s">
        <v>257</v>
      </c>
      <c r="C283" s="224" t="s">
        <v>7987</v>
      </c>
      <c r="D283" s="224"/>
      <c r="E283" s="223">
        <v>6</v>
      </c>
      <c r="F283" s="225">
        <v>50</v>
      </c>
      <c r="G283" s="223"/>
      <c r="I283" s="253">
        <v>37</v>
      </c>
      <c r="S283" s="218">
        <v>1385.5689669999999</v>
      </c>
      <c r="T283" s="180"/>
      <c r="Y283" s="218">
        <v>498.56247000000002</v>
      </c>
      <c r="Z283" s="180"/>
      <c r="AA283" s="218">
        <v>60110.255469999996</v>
      </c>
      <c r="AB283" s="180"/>
      <c r="AC283" s="252">
        <v>27.338775080000001</v>
      </c>
      <c r="AD283" s="180"/>
      <c r="AG283" s="218">
        <v>4.5481049560000004</v>
      </c>
      <c r="AH283" s="180"/>
      <c r="AM283" s="218">
        <v>89</v>
      </c>
      <c r="BS283" s="218">
        <v>50.6814575</v>
      </c>
      <c r="BT283" s="180"/>
      <c r="BU283" s="218">
        <v>18.236459700000001</v>
      </c>
      <c r="BV283" s="180"/>
    </row>
    <row r="284" spans="1:74">
      <c r="A284" s="154" t="s">
        <v>7748</v>
      </c>
      <c r="B284" s="224" t="s">
        <v>257</v>
      </c>
      <c r="C284" s="224" t="s">
        <v>7988</v>
      </c>
      <c r="D284" s="224"/>
      <c r="E284" s="222">
        <v>9</v>
      </c>
      <c r="F284" s="225">
        <v>22</v>
      </c>
      <c r="G284" s="223"/>
      <c r="I284" s="253">
        <v>44</v>
      </c>
      <c r="S284" s="218">
        <v>1739.5069189999999</v>
      </c>
      <c r="T284" s="180"/>
      <c r="Y284" s="218">
        <v>673.24982399999999</v>
      </c>
      <c r="Z284" s="180"/>
      <c r="AA284" s="218">
        <v>78576.557629999996</v>
      </c>
      <c r="AB284" s="180"/>
      <c r="AC284" s="252">
        <v>35.363261629999997</v>
      </c>
      <c r="AD284" s="180"/>
      <c r="AG284" s="218">
        <v>4.5004849660000001</v>
      </c>
      <c r="AH284" s="180"/>
      <c r="AM284" s="218">
        <v>92</v>
      </c>
      <c r="BS284" s="218">
        <v>49.189662900000002</v>
      </c>
      <c r="BT284" s="180"/>
      <c r="BU284" s="218">
        <v>19.038114499999999</v>
      </c>
      <c r="BV284" s="180"/>
    </row>
    <row r="285" spans="1:74">
      <c r="A285" s="154" t="s">
        <v>7748</v>
      </c>
      <c r="B285" s="224" t="s">
        <v>257</v>
      </c>
      <c r="C285" s="224" t="s">
        <v>7989</v>
      </c>
      <c r="D285" s="224"/>
      <c r="E285" s="222">
        <v>13</v>
      </c>
      <c r="F285" s="225">
        <v>53</v>
      </c>
      <c r="G285" s="223"/>
      <c r="I285" s="253">
        <v>34</v>
      </c>
      <c r="S285" s="218">
        <v>1874.9020949999999</v>
      </c>
      <c r="T285" s="180"/>
      <c r="Y285" s="218">
        <v>856.10013690000005</v>
      </c>
      <c r="Z285" s="180"/>
      <c r="AA285" s="218">
        <v>89617.600439999995</v>
      </c>
      <c r="AB285" s="180"/>
      <c r="AC285" s="252">
        <v>37.977694560000003</v>
      </c>
      <c r="AD285" s="180"/>
      <c r="AG285" s="218">
        <v>4.2377495459999999</v>
      </c>
      <c r="AH285" s="180"/>
      <c r="AM285" s="218">
        <v>92</v>
      </c>
      <c r="BS285" s="218">
        <v>49.368507399999999</v>
      </c>
      <c r="BT285" s="180"/>
      <c r="BU285" s="218" t="s">
        <v>7956</v>
      </c>
      <c r="BV285" s="180"/>
    </row>
    <row r="286" spans="1:74">
      <c r="A286" s="154" t="s">
        <v>7748</v>
      </c>
      <c r="B286" s="224" t="s">
        <v>259</v>
      </c>
      <c r="C286" s="224" t="s">
        <v>405</v>
      </c>
      <c r="D286" s="224"/>
      <c r="E286" s="222">
        <v>1</v>
      </c>
      <c r="F286" s="225">
        <v>40</v>
      </c>
      <c r="G286" s="223"/>
      <c r="I286" s="253">
        <v>39</v>
      </c>
      <c r="S286" s="218">
        <v>1711.6187609999999</v>
      </c>
      <c r="T286" s="180"/>
      <c r="Y286" s="218">
        <v>691.23729549999996</v>
      </c>
      <c r="Z286" s="180"/>
      <c r="AA286" s="218">
        <v>80954.728520000004</v>
      </c>
      <c r="AB286" s="180"/>
      <c r="AC286" s="252">
        <v>34.716260660000003</v>
      </c>
      <c r="AD286" s="180"/>
      <c r="AG286" s="218">
        <v>4.2883548979999997</v>
      </c>
      <c r="AH286" s="180"/>
      <c r="AM286" s="218">
        <v>92</v>
      </c>
      <c r="BS286" s="218">
        <v>49.303085299999999</v>
      </c>
      <c r="BT286" s="180"/>
      <c r="BU286" s="218">
        <v>19.911052699999999</v>
      </c>
      <c r="BV286" s="180"/>
    </row>
    <row r="287" spans="1:74">
      <c r="A287" s="154" t="s">
        <v>7748</v>
      </c>
      <c r="B287" s="224" t="s">
        <v>259</v>
      </c>
      <c r="C287" s="224" t="s">
        <v>7987</v>
      </c>
      <c r="D287" s="224"/>
      <c r="E287" s="222">
        <v>6</v>
      </c>
      <c r="F287" s="225">
        <v>10</v>
      </c>
      <c r="G287" s="223"/>
      <c r="I287" s="253">
        <v>42</v>
      </c>
      <c r="S287" s="218">
        <v>2112.7204839999999</v>
      </c>
      <c r="T287" s="180"/>
      <c r="Y287" s="218">
        <v>835.60357420000003</v>
      </c>
      <c r="Z287" s="180"/>
      <c r="AA287" s="218">
        <v>94725.728489999994</v>
      </c>
      <c r="AB287" s="180"/>
      <c r="AC287" s="252">
        <v>42.069904469999997</v>
      </c>
      <c r="AD287" s="180"/>
      <c r="AG287" s="218">
        <v>4.4412331409999997</v>
      </c>
      <c r="AH287" s="180"/>
      <c r="AM287" s="218">
        <v>89</v>
      </c>
      <c r="BS287" s="218">
        <v>50.219284100000003</v>
      </c>
      <c r="BT287" s="180"/>
      <c r="BU287" s="218">
        <v>19.8622646</v>
      </c>
      <c r="BV287" s="180"/>
    </row>
    <row r="288" spans="1:74">
      <c r="A288" s="154" t="s">
        <v>7748</v>
      </c>
      <c r="B288" s="224" t="s">
        <v>259</v>
      </c>
      <c r="C288" s="224" t="s">
        <v>7988</v>
      </c>
      <c r="D288" s="224"/>
      <c r="E288" s="223">
        <v>10</v>
      </c>
      <c r="F288" s="225">
        <v>59</v>
      </c>
      <c r="G288" s="223"/>
      <c r="I288" s="253">
        <v>40</v>
      </c>
      <c r="S288" s="218">
        <v>1889.471452</v>
      </c>
      <c r="T288" s="180"/>
      <c r="Y288" s="218">
        <v>775.91985099999999</v>
      </c>
      <c r="Z288" s="180"/>
      <c r="AA288" s="218">
        <v>87231.184110000002</v>
      </c>
      <c r="AB288" s="180"/>
      <c r="AC288" s="252">
        <v>38.917248970000003</v>
      </c>
      <c r="AD288" s="180"/>
      <c r="AG288" s="218">
        <v>4.4613918019999996</v>
      </c>
      <c r="AH288" s="180"/>
      <c r="AM288" s="218">
        <v>92</v>
      </c>
      <c r="BS288" s="218">
        <v>48.551002500000003</v>
      </c>
      <c r="BT288" s="180"/>
      <c r="BU288" s="218">
        <v>19.937684999999998</v>
      </c>
      <c r="BV288" s="180"/>
    </row>
    <row r="289" spans="1:74">
      <c r="A289" s="154" t="s">
        <v>7748</v>
      </c>
      <c r="B289" s="224" t="s">
        <v>259</v>
      </c>
      <c r="C289" s="224" t="s">
        <v>7989</v>
      </c>
      <c r="D289" s="224"/>
      <c r="E289" s="223">
        <v>13</v>
      </c>
      <c r="F289" s="225">
        <v>16</v>
      </c>
      <c r="G289" s="223"/>
      <c r="I289" s="253">
        <v>39</v>
      </c>
      <c r="S289" s="218">
        <v>1821.325742</v>
      </c>
      <c r="T289" s="180"/>
      <c r="Y289" s="218">
        <v>751.5120154</v>
      </c>
      <c r="Z289" s="180"/>
      <c r="AA289" s="218">
        <v>83926.134049999993</v>
      </c>
      <c r="AB289" s="180"/>
      <c r="AC289" s="252">
        <v>37.148948439999998</v>
      </c>
      <c r="AD289" s="180"/>
      <c r="AG289" s="218">
        <v>4.4263862329999997</v>
      </c>
      <c r="AH289" s="180"/>
      <c r="AM289" s="218">
        <v>89</v>
      </c>
      <c r="BS289" s="218">
        <v>49.027652699999997</v>
      </c>
      <c r="BT289" s="180"/>
      <c r="BU289" s="218">
        <v>20.229698200000001</v>
      </c>
      <c r="BV289" s="180"/>
    </row>
    <row r="290" spans="1:74">
      <c r="A290" s="154" t="s">
        <v>7749</v>
      </c>
      <c r="B290" s="224" t="s">
        <v>257</v>
      </c>
      <c r="C290" s="224" t="s">
        <v>405</v>
      </c>
      <c r="D290" s="224"/>
      <c r="E290" s="222">
        <v>2</v>
      </c>
      <c r="F290" s="225">
        <v>22</v>
      </c>
      <c r="G290" s="223"/>
      <c r="I290" s="253">
        <v>38</v>
      </c>
      <c r="S290" s="218">
        <v>1345.0272030000001</v>
      </c>
      <c r="T290" s="180"/>
      <c r="Y290" s="218">
        <v>509.12723640000002</v>
      </c>
      <c r="Z290" s="180"/>
      <c r="AA290" s="218">
        <v>54260.491849999999</v>
      </c>
      <c r="AB290" s="180"/>
      <c r="AC290" s="252">
        <v>26.749778620000001</v>
      </c>
      <c r="AD290" s="180"/>
      <c r="AG290" s="218">
        <v>4.9298813380000004</v>
      </c>
      <c r="AH290" s="180"/>
      <c r="AM290" s="218">
        <v>87</v>
      </c>
      <c r="BS290" s="218">
        <v>50.281806899999999</v>
      </c>
      <c r="BT290" s="180"/>
      <c r="BU290" s="218">
        <v>19.032951400000002</v>
      </c>
      <c r="BV290" s="180"/>
    </row>
    <row r="291" spans="1:74">
      <c r="A291" s="154" t="s">
        <v>7749</v>
      </c>
      <c r="B291" s="224" t="s">
        <v>257</v>
      </c>
      <c r="C291" s="224" t="s">
        <v>7987</v>
      </c>
      <c r="D291" s="224"/>
      <c r="E291" s="222">
        <v>6</v>
      </c>
      <c r="F291" s="225">
        <v>44</v>
      </c>
      <c r="G291" s="223"/>
      <c r="I291" s="253">
        <v>40</v>
      </c>
      <c r="S291" s="218">
        <v>1608.428077</v>
      </c>
      <c r="T291" s="180"/>
      <c r="Y291" s="218">
        <v>567.9990014</v>
      </c>
      <c r="Z291" s="180"/>
      <c r="AA291" s="218">
        <v>66695.914439999993</v>
      </c>
      <c r="AB291" s="180"/>
      <c r="AC291" s="252">
        <v>31.38631268</v>
      </c>
      <c r="AD291" s="180"/>
      <c r="AG291" s="218">
        <v>4.7058823529999998</v>
      </c>
      <c r="AH291" s="180"/>
      <c r="AM291" s="218">
        <v>87</v>
      </c>
      <c r="BS291" s="218">
        <v>51.246162400000003</v>
      </c>
      <c r="BT291" s="180"/>
      <c r="BU291" s="218">
        <v>18.097028699999999</v>
      </c>
      <c r="BV291" s="180"/>
    </row>
    <row r="292" spans="1:74">
      <c r="A292" s="154" t="s">
        <v>7749</v>
      </c>
      <c r="B292" s="224" t="s">
        <v>257</v>
      </c>
      <c r="C292" s="224" t="s">
        <v>7988</v>
      </c>
      <c r="D292" s="224"/>
      <c r="E292" s="222">
        <v>11</v>
      </c>
      <c r="F292" s="225">
        <v>1</v>
      </c>
      <c r="G292" s="223"/>
      <c r="I292" s="253">
        <v>36</v>
      </c>
      <c r="S292" s="218">
        <v>1445.548004</v>
      </c>
      <c r="T292" s="180"/>
      <c r="Y292" s="218">
        <v>543.05638820000001</v>
      </c>
      <c r="Z292" s="180"/>
      <c r="AA292" s="218">
        <v>57424.356919999998</v>
      </c>
      <c r="AB292" s="180"/>
      <c r="AC292" s="252">
        <v>28.681730760000001</v>
      </c>
      <c r="AD292" s="180"/>
      <c r="AG292" s="218">
        <v>4.9946977730000004</v>
      </c>
      <c r="AH292" s="180"/>
      <c r="AM292" s="218">
        <v>87</v>
      </c>
      <c r="BS292" s="218">
        <v>50.399608600000001</v>
      </c>
      <c r="BT292" s="180"/>
      <c r="BU292" s="218">
        <v>18.933877899999999</v>
      </c>
      <c r="BV292" s="180"/>
    </row>
    <row r="293" spans="1:74">
      <c r="A293" s="154" t="s">
        <v>7749</v>
      </c>
      <c r="B293" s="224" t="s">
        <v>257</v>
      </c>
      <c r="C293" s="224" t="s">
        <v>7989</v>
      </c>
      <c r="D293" s="224"/>
      <c r="E293" s="222">
        <v>14</v>
      </c>
      <c r="F293" s="225">
        <v>49</v>
      </c>
      <c r="G293" s="223"/>
      <c r="I293" s="253">
        <v>31</v>
      </c>
      <c r="S293" s="218">
        <v>1712.624161</v>
      </c>
      <c r="T293" s="180"/>
      <c r="Y293" s="218">
        <v>758.30556920000004</v>
      </c>
      <c r="Z293" s="180"/>
      <c r="AA293" s="218">
        <v>69033.580839999995</v>
      </c>
      <c r="AB293" s="180"/>
      <c r="AC293" s="252">
        <v>33.477343980000001</v>
      </c>
      <c r="AD293" s="180"/>
      <c r="AG293" s="218">
        <v>4.8494288680000004</v>
      </c>
      <c r="AH293" s="180"/>
      <c r="AM293" s="218">
        <v>89</v>
      </c>
      <c r="BS293" s="218">
        <v>51.157707199999997</v>
      </c>
      <c r="BT293" s="180"/>
      <c r="BU293" s="218" t="s">
        <v>7956</v>
      </c>
      <c r="BV293" s="180"/>
    </row>
    <row r="294" spans="1:74">
      <c r="A294" s="154" t="s">
        <v>7749</v>
      </c>
      <c r="B294" s="224" t="s">
        <v>259</v>
      </c>
      <c r="C294" s="224" t="s">
        <v>405</v>
      </c>
      <c r="D294" s="224"/>
      <c r="E294" s="223">
        <v>2</v>
      </c>
      <c r="F294" s="225">
        <v>38</v>
      </c>
      <c r="G294" s="223"/>
      <c r="I294" s="253">
        <v>38</v>
      </c>
      <c r="S294" s="218">
        <v>1658.7008060000001</v>
      </c>
      <c r="T294" s="180"/>
      <c r="Y294" s="218">
        <v>650.77337769999997</v>
      </c>
      <c r="Z294" s="180"/>
      <c r="AA294" s="218">
        <v>68542.61649</v>
      </c>
      <c r="AB294" s="180"/>
      <c r="AC294" s="252">
        <v>33.329390680000003</v>
      </c>
      <c r="AD294" s="180"/>
      <c r="AG294" s="218">
        <v>4.8625792810000004</v>
      </c>
      <c r="AH294" s="180"/>
      <c r="AM294" s="218">
        <v>89</v>
      </c>
      <c r="BS294" s="218">
        <v>49.766910600000003</v>
      </c>
      <c r="BT294" s="180"/>
      <c r="BU294" s="218">
        <v>19.525510799999999</v>
      </c>
      <c r="BV294" s="180"/>
    </row>
    <row r="295" spans="1:74">
      <c r="A295" s="154" t="s">
        <v>7749</v>
      </c>
      <c r="B295" s="224" t="s">
        <v>259</v>
      </c>
      <c r="C295" s="224" t="s">
        <v>7987</v>
      </c>
      <c r="D295" s="224"/>
      <c r="E295" s="223">
        <v>6</v>
      </c>
      <c r="F295" s="225">
        <v>27</v>
      </c>
      <c r="G295" s="223"/>
      <c r="I295" s="253">
        <v>37</v>
      </c>
      <c r="S295" s="218">
        <v>1733.0316909999999</v>
      </c>
      <c r="T295" s="180"/>
      <c r="Y295" s="218">
        <v>656.91203759999996</v>
      </c>
      <c r="Z295" s="180"/>
      <c r="AA295" s="218">
        <v>68911.775550000006</v>
      </c>
      <c r="AB295" s="180"/>
      <c r="AC295" s="252">
        <v>34.161393009999998</v>
      </c>
      <c r="AD295" s="180"/>
      <c r="AG295" s="218">
        <v>4.9572649569999996</v>
      </c>
      <c r="AH295" s="180"/>
      <c r="AM295" s="218">
        <v>87</v>
      </c>
      <c r="BS295" s="218">
        <v>50.730709099999999</v>
      </c>
      <c r="BT295" s="180"/>
      <c r="BU295" s="218">
        <v>19.2296619</v>
      </c>
      <c r="BV295" s="180"/>
    </row>
    <row r="296" spans="1:74">
      <c r="A296" s="154" t="s">
        <v>7749</v>
      </c>
      <c r="B296" s="224" t="s">
        <v>259</v>
      </c>
      <c r="C296" s="224" t="s">
        <v>7988</v>
      </c>
      <c r="D296" s="224"/>
      <c r="E296" s="222">
        <v>9</v>
      </c>
      <c r="F296" s="225">
        <v>48</v>
      </c>
      <c r="G296" s="223"/>
      <c r="I296" s="253">
        <v>38</v>
      </c>
      <c r="S296" s="218">
        <v>2001.9759240000001</v>
      </c>
      <c r="T296" s="180"/>
      <c r="Y296" s="218">
        <v>824.0195569</v>
      </c>
      <c r="Z296" s="180"/>
      <c r="AA296" s="218">
        <v>82984.290999999997</v>
      </c>
      <c r="AB296" s="180"/>
      <c r="AC296" s="252">
        <v>40.739353100000002</v>
      </c>
      <c r="AD296" s="180"/>
      <c r="AG296" s="218">
        <v>4.9092849520000001</v>
      </c>
      <c r="AH296" s="180"/>
      <c r="AM296" s="218">
        <v>89</v>
      </c>
      <c r="BS296" s="218">
        <v>49.1410828</v>
      </c>
      <c r="BT296" s="180"/>
      <c r="BU296" s="218">
        <v>20.226623499999999</v>
      </c>
      <c r="BV296" s="180"/>
    </row>
    <row r="297" spans="1:74">
      <c r="A297" s="154" t="s">
        <v>7749</v>
      </c>
      <c r="B297" s="224" t="s">
        <v>259</v>
      </c>
      <c r="C297" s="224" t="s">
        <v>7989</v>
      </c>
      <c r="D297" s="224"/>
      <c r="E297" s="222">
        <v>16</v>
      </c>
      <c r="F297" s="225">
        <v>8</v>
      </c>
      <c r="G297" s="223"/>
      <c r="I297" s="253">
        <v>36</v>
      </c>
      <c r="S297" s="218">
        <v>1450.750914</v>
      </c>
      <c r="T297" s="180"/>
      <c r="Y297" s="218">
        <v>594.52586480000002</v>
      </c>
      <c r="Z297" s="180"/>
      <c r="AA297" s="218">
        <v>59858.267469999999</v>
      </c>
      <c r="AB297" s="180"/>
      <c r="AC297" s="252">
        <v>29.548678639999999</v>
      </c>
      <c r="AD297" s="180"/>
      <c r="AG297" s="218">
        <v>4.9364406780000003</v>
      </c>
      <c r="AH297" s="180"/>
      <c r="AM297" s="218">
        <v>87</v>
      </c>
      <c r="BS297" s="218">
        <v>49.096981</v>
      </c>
      <c r="BT297" s="180"/>
      <c r="BU297" s="218">
        <v>20.120218300000001</v>
      </c>
      <c r="BV297" s="180"/>
    </row>
    <row r="298" spans="1:74">
      <c r="A298" s="154" t="s">
        <v>7863</v>
      </c>
      <c r="B298" s="224" t="s">
        <v>257</v>
      </c>
      <c r="C298" s="224" t="s">
        <v>405</v>
      </c>
      <c r="D298" s="224"/>
      <c r="E298" s="222">
        <v>1</v>
      </c>
      <c r="F298" s="225">
        <v>31</v>
      </c>
      <c r="G298" s="223"/>
      <c r="I298" s="253">
        <v>40</v>
      </c>
      <c r="S298" s="218">
        <v>1410.253009</v>
      </c>
      <c r="T298" s="180"/>
      <c r="Y298" s="218">
        <v>559.61882300000002</v>
      </c>
      <c r="Z298" s="180"/>
      <c r="AA298" s="218">
        <v>57565.350310000002</v>
      </c>
      <c r="AB298" s="180"/>
      <c r="AC298" s="252">
        <v>28.875822970000002</v>
      </c>
      <c r="AD298" s="180"/>
      <c r="AG298" s="218">
        <v>5.0161812299999999</v>
      </c>
      <c r="AH298" s="180"/>
      <c r="AM298" s="218">
        <v>83</v>
      </c>
      <c r="BS298" s="218">
        <v>48.838539099999998</v>
      </c>
      <c r="BT298" s="180"/>
      <c r="BU298" s="218">
        <v>19.3801861</v>
      </c>
      <c r="BV298" s="180"/>
    </row>
    <row r="299" spans="1:74">
      <c r="A299" s="154" t="s">
        <v>7863</v>
      </c>
      <c r="B299" s="224" t="s">
        <v>257</v>
      </c>
      <c r="C299" s="224" t="s">
        <v>7987</v>
      </c>
      <c r="D299" s="224"/>
      <c r="E299" s="222">
        <v>8</v>
      </c>
      <c r="F299" s="225">
        <v>59</v>
      </c>
      <c r="G299" s="223"/>
      <c r="I299" s="253">
        <v>35</v>
      </c>
      <c r="S299" s="218">
        <v>1296.8834039999999</v>
      </c>
      <c r="T299" s="180"/>
      <c r="Y299" s="218">
        <v>487.92978590000001</v>
      </c>
      <c r="Z299" s="180"/>
      <c r="AA299" s="218">
        <v>52619.402020000001</v>
      </c>
      <c r="AB299" s="180"/>
      <c r="AC299" s="252">
        <v>25.786261929999998</v>
      </c>
      <c r="AD299" s="180"/>
      <c r="AG299" s="218">
        <v>4.9005235599999999</v>
      </c>
      <c r="AH299" s="180"/>
      <c r="AM299" s="218">
        <v>81</v>
      </c>
      <c r="BS299" s="218">
        <v>50.293579100000002</v>
      </c>
      <c r="BT299" s="180"/>
      <c r="BU299" s="218">
        <v>18.922082899999999</v>
      </c>
      <c r="BV299" s="180"/>
    </row>
    <row r="300" spans="1:74">
      <c r="A300" s="154" t="s">
        <v>7863</v>
      </c>
      <c r="B300" s="224" t="s">
        <v>257</v>
      </c>
      <c r="C300" s="224" t="s">
        <v>7988</v>
      </c>
      <c r="D300" s="224"/>
      <c r="E300" s="223">
        <v>11</v>
      </c>
      <c r="F300" s="225">
        <v>14</v>
      </c>
      <c r="G300" s="223"/>
      <c r="I300" s="253">
        <v>33</v>
      </c>
      <c r="S300" s="218">
        <v>1170.8514359999999</v>
      </c>
      <c r="T300" s="180"/>
      <c r="Y300" s="218">
        <v>440.33306499999998</v>
      </c>
      <c r="Z300" s="180"/>
      <c r="AA300" s="218">
        <v>47052.272980000002</v>
      </c>
      <c r="AB300" s="180"/>
      <c r="AC300" s="252">
        <v>23.305348970000001</v>
      </c>
      <c r="AD300" s="180"/>
      <c r="AG300" s="218">
        <v>4.9530761209999996</v>
      </c>
      <c r="AH300" s="180"/>
      <c r="AM300" s="218">
        <v>83</v>
      </c>
      <c r="BS300" s="218">
        <v>50.239601100000002</v>
      </c>
      <c r="BT300" s="180"/>
      <c r="BU300" s="218">
        <v>18.894077299999999</v>
      </c>
      <c r="BV300" s="180"/>
    </row>
    <row r="301" spans="1:74">
      <c r="A301" s="154" t="s">
        <v>7863</v>
      </c>
      <c r="B301" s="224" t="s">
        <v>257</v>
      </c>
      <c r="C301" s="224" t="s">
        <v>7989</v>
      </c>
      <c r="D301" s="224"/>
      <c r="E301" s="223">
        <v>13</v>
      </c>
      <c r="F301" s="225">
        <v>33</v>
      </c>
      <c r="G301" s="223"/>
      <c r="I301" s="253">
        <v>37</v>
      </c>
      <c r="S301" s="218">
        <v>1394.00872</v>
      </c>
      <c r="T301" s="180"/>
      <c r="Y301" s="218">
        <v>546.6256621</v>
      </c>
      <c r="Z301" s="180"/>
      <c r="AA301" s="218">
        <v>61470.583760000001</v>
      </c>
      <c r="AB301" s="180"/>
      <c r="AC301" s="252">
        <v>28.55526618</v>
      </c>
      <c r="AD301" s="180"/>
      <c r="AG301" s="218">
        <v>4.6453546450000003</v>
      </c>
      <c r="AH301" s="180"/>
      <c r="AM301" s="218">
        <v>87</v>
      </c>
      <c r="BS301" s="218">
        <v>48.817920700000002</v>
      </c>
      <c r="BT301" s="180"/>
      <c r="BU301" s="218">
        <v>19.1427269</v>
      </c>
      <c r="BV301" s="180"/>
    </row>
    <row r="302" spans="1:74">
      <c r="A302" s="154" t="s">
        <v>7863</v>
      </c>
      <c r="B302" s="224" t="s">
        <v>259</v>
      </c>
      <c r="C302" s="224" t="s">
        <v>405</v>
      </c>
      <c r="D302" s="224"/>
      <c r="E302" s="222">
        <v>4</v>
      </c>
      <c r="F302" s="225">
        <v>52</v>
      </c>
      <c r="G302" s="223"/>
      <c r="I302" s="253">
        <v>43</v>
      </c>
      <c r="S302" s="218">
        <v>1760.6122929999999</v>
      </c>
      <c r="T302" s="180"/>
      <c r="Y302" s="218">
        <v>728.72416910000004</v>
      </c>
      <c r="Z302" s="180"/>
      <c r="AA302" s="218">
        <v>75197.768500000006</v>
      </c>
      <c r="AB302" s="180"/>
      <c r="AC302" s="252">
        <v>36.2380146</v>
      </c>
      <c r="AD302" s="180"/>
      <c r="AG302" s="218">
        <v>4.819027921</v>
      </c>
      <c r="AH302" s="180"/>
      <c r="AM302" s="218">
        <v>81</v>
      </c>
      <c r="BS302" s="218">
        <v>48.584678599999997</v>
      </c>
      <c r="BT302" s="180"/>
      <c r="BU302" s="218">
        <v>20.109384500000001</v>
      </c>
      <c r="BV302" s="180"/>
    </row>
    <row r="303" spans="1:74">
      <c r="A303" s="154" t="s">
        <v>7863</v>
      </c>
      <c r="B303" s="224" t="s">
        <v>259</v>
      </c>
      <c r="C303" s="224" t="s">
        <v>7987</v>
      </c>
      <c r="D303" s="224"/>
      <c r="E303" s="222">
        <v>5</v>
      </c>
      <c r="F303" s="225">
        <v>9</v>
      </c>
      <c r="G303" s="223"/>
      <c r="I303" s="253">
        <v>40</v>
      </c>
      <c r="S303" s="218">
        <v>1573.38238</v>
      </c>
      <c r="T303" s="180"/>
      <c r="Y303" s="218">
        <v>672.40144499999997</v>
      </c>
      <c r="Z303" s="180"/>
      <c r="AA303" s="218">
        <v>70541.942139999999</v>
      </c>
      <c r="AB303" s="180"/>
      <c r="AC303" s="252">
        <v>32.7006169</v>
      </c>
      <c r="AD303" s="180"/>
      <c r="AG303" s="218">
        <v>4.6356275299999998</v>
      </c>
      <c r="AH303" s="180"/>
      <c r="AM303" s="218">
        <v>83</v>
      </c>
      <c r="BS303" s="218">
        <v>48.114761399999999</v>
      </c>
      <c r="BT303" s="180"/>
      <c r="BU303" s="218">
        <v>20.5623474</v>
      </c>
      <c r="BV303" s="180"/>
    </row>
    <row r="304" spans="1:74">
      <c r="A304" s="154" t="s">
        <v>7863</v>
      </c>
      <c r="B304" s="224" t="s">
        <v>259</v>
      </c>
      <c r="C304" s="224" t="s">
        <v>7988</v>
      </c>
      <c r="D304" s="224"/>
      <c r="E304" s="222">
        <v>10</v>
      </c>
      <c r="F304" s="225">
        <v>53</v>
      </c>
      <c r="G304" s="223"/>
      <c r="I304" s="253">
        <v>39</v>
      </c>
      <c r="S304" s="218">
        <v>1737.6164699999999</v>
      </c>
      <c r="T304" s="180"/>
      <c r="Y304" s="218">
        <v>693.84573720000003</v>
      </c>
      <c r="Z304" s="180"/>
      <c r="AA304" s="218">
        <v>72779.89748</v>
      </c>
      <c r="AB304" s="180"/>
      <c r="AC304" s="252">
        <v>35.857041539999997</v>
      </c>
      <c r="AD304" s="180"/>
      <c r="AG304" s="218">
        <v>4.9267782430000002</v>
      </c>
      <c r="AH304" s="180"/>
      <c r="AM304" s="218">
        <v>83</v>
      </c>
      <c r="BS304" s="218">
        <v>48.459560400000001</v>
      </c>
      <c r="BT304" s="180"/>
      <c r="BU304" s="218">
        <v>19.350334199999999</v>
      </c>
      <c r="BV304" s="180"/>
    </row>
    <row r="305" spans="1:74">
      <c r="A305" s="154" t="s">
        <v>7863</v>
      </c>
      <c r="B305" s="224" t="s">
        <v>259</v>
      </c>
      <c r="C305" s="224" t="s">
        <v>7989</v>
      </c>
      <c r="D305" s="224"/>
      <c r="E305" s="222">
        <v>16</v>
      </c>
      <c r="F305" s="225">
        <v>19</v>
      </c>
      <c r="G305" s="223"/>
      <c r="I305" s="253">
        <v>37</v>
      </c>
      <c r="S305" s="218">
        <v>1478.84997</v>
      </c>
      <c r="T305" s="180"/>
      <c r="Y305" s="218">
        <v>589.57580229999996</v>
      </c>
      <c r="Z305" s="180"/>
      <c r="AA305" s="218">
        <v>62335.806879999996</v>
      </c>
      <c r="AB305" s="180"/>
      <c r="AC305" s="252">
        <v>30.288558200000001</v>
      </c>
      <c r="AD305" s="180"/>
      <c r="AG305" s="218">
        <v>4.8589341690000003</v>
      </c>
      <c r="AH305" s="180"/>
      <c r="AM305" s="218">
        <v>83</v>
      </c>
      <c r="BS305" s="218">
        <v>48.825367</v>
      </c>
      <c r="BT305" s="180"/>
      <c r="BU305" s="218">
        <v>19.465297700000001</v>
      </c>
      <c r="BV305" s="180"/>
    </row>
    <row r="306" spans="1:74">
      <c r="A306" s="154" t="s">
        <v>7864</v>
      </c>
      <c r="B306" s="224" t="s">
        <v>257</v>
      </c>
      <c r="C306" s="224" t="s">
        <v>405</v>
      </c>
      <c r="D306" s="224"/>
      <c r="E306" s="223">
        <v>2</v>
      </c>
      <c r="F306" s="225">
        <v>13</v>
      </c>
      <c r="G306" s="223"/>
      <c r="I306" s="253">
        <v>37</v>
      </c>
      <c r="S306" s="218">
        <v>1839.622517</v>
      </c>
      <c r="T306" s="180"/>
      <c r="Y306" s="218">
        <v>646.64443879999999</v>
      </c>
      <c r="Z306" s="180"/>
      <c r="AA306" s="218">
        <v>70811.713480000006</v>
      </c>
      <c r="AB306" s="180"/>
      <c r="AC306" s="252">
        <v>36.232912349999999</v>
      </c>
      <c r="AD306" s="180"/>
      <c r="AG306" s="218">
        <v>5.1167964399999999</v>
      </c>
      <c r="AH306" s="180"/>
      <c r="AM306" s="218">
        <v>81</v>
      </c>
      <c r="BS306" s="218">
        <v>50.772140499999999</v>
      </c>
      <c r="BT306" s="180"/>
      <c r="BU306" s="218">
        <v>17.846879999999999</v>
      </c>
      <c r="BV306" s="180"/>
    </row>
    <row r="307" spans="1:74">
      <c r="A307" s="154" t="s">
        <v>7864</v>
      </c>
      <c r="B307" s="224" t="s">
        <v>257</v>
      </c>
      <c r="C307" s="224" t="s">
        <v>7987</v>
      </c>
      <c r="D307" s="224"/>
      <c r="E307" s="223">
        <v>6</v>
      </c>
      <c r="F307" s="225">
        <v>60</v>
      </c>
      <c r="G307" s="223"/>
      <c r="I307" s="253">
        <v>38</v>
      </c>
      <c r="S307" s="218">
        <v>1415.341175</v>
      </c>
      <c r="T307" s="180"/>
      <c r="Y307" s="218">
        <v>494.45540030000001</v>
      </c>
      <c r="Z307" s="180"/>
      <c r="AA307" s="218">
        <v>53393.624519999998</v>
      </c>
      <c r="AB307" s="180"/>
      <c r="AC307" s="252">
        <v>27.707604709999998</v>
      </c>
      <c r="AD307" s="180"/>
      <c r="AG307" s="218">
        <v>5.1893095770000004</v>
      </c>
      <c r="AH307" s="180"/>
      <c r="AM307" s="218">
        <v>83</v>
      </c>
      <c r="BS307" s="218">
        <v>51.081325499999998</v>
      </c>
      <c r="BT307" s="180"/>
      <c r="BU307" s="218">
        <v>17.8454762</v>
      </c>
      <c r="BV307" s="180"/>
    </row>
    <row r="308" spans="1:74">
      <c r="A308" s="154" t="s">
        <v>7864</v>
      </c>
      <c r="B308" s="224" t="s">
        <v>257</v>
      </c>
      <c r="C308" s="224" t="s">
        <v>7988</v>
      </c>
      <c r="D308" s="224"/>
      <c r="E308" s="222">
        <v>9</v>
      </c>
      <c r="F308" s="225">
        <v>3</v>
      </c>
      <c r="G308" s="223"/>
      <c r="I308" s="253">
        <v>30</v>
      </c>
      <c r="S308" s="218">
        <v>1201.4853780000001</v>
      </c>
      <c r="T308" s="180"/>
      <c r="Y308" s="218">
        <v>476.41161970000002</v>
      </c>
      <c r="Z308" s="180"/>
      <c r="AA308" s="218">
        <v>45113.74798</v>
      </c>
      <c r="AB308" s="180"/>
      <c r="AC308" s="252">
        <v>24.33218351</v>
      </c>
      <c r="AD308" s="180"/>
      <c r="AG308" s="218">
        <v>5.3935185189999997</v>
      </c>
      <c r="AH308" s="180"/>
      <c r="AM308" s="218">
        <v>81</v>
      </c>
      <c r="BS308" s="218">
        <v>49.378444700000003</v>
      </c>
      <c r="BT308" s="180"/>
      <c r="BU308" s="218">
        <v>19.579484900000001</v>
      </c>
      <c r="BV308" s="180"/>
    </row>
    <row r="309" spans="1:74">
      <c r="A309" s="154" t="s">
        <v>7864</v>
      </c>
      <c r="B309" s="224" t="s">
        <v>257</v>
      </c>
      <c r="C309" s="224" t="s">
        <v>7989</v>
      </c>
      <c r="D309" s="224"/>
      <c r="E309" s="222">
        <v>13</v>
      </c>
      <c r="F309" s="225">
        <v>54</v>
      </c>
      <c r="G309" s="223"/>
      <c r="I309" s="253">
        <v>40</v>
      </c>
      <c r="S309" s="218">
        <v>1783.206365</v>
      </c>
      <c r="T309" s="180"/>
      <c r="Y309" s="218">
        <v>661.30115479999995</v>
      </c>
      <c r="Z309" s="180"/>
      <c r="AA309" s="218">
        <v>72592.192309999999</v>
      </c>
      <c r="AB309" s="180"/>
      <c r="AC309" s="252">
        <v>35.494605069999999</v>
      </c>
      <c r="AD309" s="180"/>
      <c r="AG309" s="218">
        <v>4.8895899050000002</v>
      </c>
      <c r="AH309" s="180"/>
      <c r="AM309" s="218">
        <v>81</v>
      </c>
      <c r="BS309" s="218">
        <v>50.238799999999998</v>
      </c>
      <c r="BT309" s="180"/>
      <c r="BU309" s="218">
        <v>18.631032900000001</v>
      </c>
      <c r="BV309" s="180"/>
    </row>
    <row r="310" spans="1:74">
      <c r="A310" s="154" t="s">
        <v>7864</v>
      </c>
      <c r="B310" s="224" t="s">
        <v>259</v>
      </c>
      <c r="C310" s="224" t="s">
        <v>405</v>
      </c>
      <c r="D310" s="224"/>
      <c r="E310" s="222">
        <v>2</v>
      </c>
      <c r="F310" s="225">
        <v>61</v>
      </c>
      <c r="G310" s="223"/>
      <c r="I310" s="253">
        <v>38</v>
      </c>
      <c r="S310" s="218">
        <v>1540.6185069999999</v>
      </c>
      <c r="T310" s="180"/>
      <c r="Y310" s="218">
        <v>594.6816311</v>
      </c>
      <c r="Z310" s="180"/>
      <c r="AA310" s="218">
        <v>62442.553119999997</v>
      </c>
      <c r="AB310" s="180"/>
      <c r="AC310" s="252">
        <v>31.020281220000001</v>
      </c>
      <c r="AD310" s="180"/>
      <c r="AG310" s="218">
        <v>4.967811159</v>
      </c>
      <c r="AH310" s="180"/>
      <c r="AM310" s="218">
        <v>83</v>
      </c>
      <c r="BS310" s="218">
        <v>49.664878799999997</v>
      </c>
      <c r="BT310" s="180"/>
      <c r="BU310" s="218">
        <v>19.170736300000002</v>
      </c>
      <c r="BV310" s="180"/>
    </row>
    <row r="311" spans="1:74">
      <c r="A311" s="154" t="s">
        <v>7864</v>
      </c>
      <c r="B311" s="224" t="s">
        <v>259</v>
      </c>
      <c r="C311" s="224" t="s">
        <v>7987</v>
      </c>
      <c r="D311" s="224"/>
      <c r="E311" s="222">
        <v>5</v>
      </c>
      <c r="F311" s="225">
        <v>15</v>
      </c>
      <c r="G311" s="223"/>
      <c r="I311" s="253">
        <v>34</v>
      </c>
      <c r="S311" s="218">
        <v>1873.428492</v>
      </c>
      <c r="T311" s="180"/>
      <c r="Y311" s="218">
        <v>718.87978699999996</v>
      </c>
      <c r="Z311" s="180"/>
      <c r="AA311" s="218">
        <v>73616.978140000007</v>
      </c>
      <c r="AB311" s="180"/>
      <c r="AC311" s="252">
        <v>37.655124630000003</v>
      </c>
      <c r="AD311" s="180"/>
      <c r="AG311" s="218">
        <v>5.1150054760000003</v>
      </c>
      <c r="AH311" s="180"/>
      <c r="AM311" s="218">
        <v>81</v>
      </c>
      <c r="BS311" s="218">
        <v>49.752285000000001</v>
      </c>
      <c r="BT311" s="180"/>
      <c r="BU311" s="218">
        <v>19.091154100000001</v>
      </c>
      <c r="BV311" s="180"/>
    </row>
    <row r="312" spans="1:74">
      <c r="A312" s="154" t="s">
        <v>7864</v>
      </c>
      <c r="B312" s="224" t="s">
        <v>259</v>
      </c>
      <c r="C312" s="224" t="s">
        <v>7988</v>
      </c>
      <c r="D312" s="224"/>
      <c r="E312" s="223">
        <v>10</v>
      </c>
      <c r="F312" s="225">
        <v>42</v>
      </c>
      <c r="G312" s="223"/>
      <c r="I312" s="253">
        <v>38</v>
      </c>
      <c r="S312" s="218">
        <v>1847.570383</v>
      </c>
      <c r="T312" s="180"/>
      <c r="Y312" s="218">
        <v>654.59720230000005</v>
      </c>
      <c r="Z312" s="180"/>
      <c r="AA312" s="218">
        <v>72243.578529999999</v>
      </c>
      <c r="AB312" s="180"/>
      <c r="AC312" s="252">
        <v>36.751362929999999</v>
      </c>
      <c r="AD312" s="180"/>
      <c r="AG312" s="218">
        <v>5.0871459689999998</v>
      </c>
      <c r="AH312" s="180"/>
      <c r="AM312" s="218">
        <v>83</v>
      </c>
      <c r="BS312" s="218">
        <v>50.272159600000002</v>
      </c>
      <c r="BT312" s="180"/>
      <c r="BU312" s="218">
        <v>17.811508199999999</v>
      </c>
      <c r="BV312" s="180"/>
    </row>
    <row r="313" spans="1:74">
      <c r="A313" s="154" t="s">
        <v>7864</v>
      </c>
      <c r="B313" s="224" t="s">
        <v>259</v>
      </c>
      <c r="C313" s="224" t="s">
        <v>7989</v>
      </c>
      <c r="D313" s="224"/>
      <c r="E313" s="223">
        <v>15</v>
      </c>
      <c r="F313" s="225">
        <v>9</v>
      </c>
      <c r="G313" s="223"/>
      <c r="I313" s="253">
        <v>34</v>
      </c>
      <c r="S313" s="218">
        <v>1348.8666470000001</v>
      </c>
      <c r="T313" s="180"/>
      <c r="Y313" s="218">
        <v>588.90285419999998</v>
      </c>
      <c r="Z313" s="180"/>
      <c r="AA313" s="218">
        <v>56656.427589999999</v>
      </c>
      <c r="AB313" s="180"/>
      <c r="AC313" s="252">
        <v>27.786910339999999</v>
      </c>
      <c r="AD313" s="180"/>
      <c r="AG313" s="218">
        <v>4.9044585989999998</v>
      </c>
      <c r="AH313" s="180"/>
      <c r="AM313" s="218">
        <v>83</v>
      </c>
      <c r="BS313" s="218">
        <v>48.5432396</v>
      </c>
      <c r="BT313" s="180"/>
      <c r="BU313" s="218">
        <v>21.1935349</v>
      </c>
      <c r="BV313" s="180"/>
    </row>
    <row r="314" spans="1:74">
      <c r="A314" s="154" t="s">
        <v>7846</v>
      </c>
      <c r="B314" s="224" t="s">
        <v>257</v>
      </c>
      <c r="C314" s="224" t="s">
        <v>405</v>
      </c>
      <c r="D314" s="224"/>
      <c r="E314" s="222">
        <v>2</v>
      </c>
      <c r="F314" s="225">
        <v>17</v>
      </c>
      <c r="G314" s="223"/>
      <c r="I314" s="253">
        <v>38</v>
      </c>
      <c r="S314" s="218">
        <v>1843.818039</v>
      </c>
      <c r="T314" s="180"/>
      <c r="Y314" s="218">
        <v>671.23413530000005</v>
      </c>
      <c r="Z314" s="180"/>
      <c r="AA314" s="218">
        <v>86839.826839999994</v>
      </c>
      <c r="AB314" s="180"/>
      <c r="AC314" s="252">
        <v>36.071928069999998</v>
      </c>
      <c r="AD314" s="180"/>
      <c r="AG314" s="218">
        <v>4.153846154</v>
      </c>
      <c r="AH314" s="180"/>
      <c r="AM314" s="218">
        <v>79</v>
      </c>
      <c r="BS314" s="218">
        <v>51.115039799999998</v>
      </c>
      <c r="BT314" s="180"/>
      <c r="BU314" s="218">
        <v>18.6082134</v>
      </c>
      <c r="BV314" s="180"/>
    </row>
    <row r="315" spans="1:74">
      <c r="A315" s="154" t="s">
        <v>7846</v>
      </c>
      <c r="B315" s="224" t="s">
        <v>257</v>
      </c>
      <c r="C315" s="224" t="s">
        <v>7987</v>
      </c>
      <c r="D315" s="224"/>
      <c r="E315" s="222">
        <v>6</v>
      </c>
      <c r="F315" s="225">
        <v>63</v>
      </c>
      <c r="G315" s="223"/>
      <c r="I315" s="253">
        <v>34</v>
      </c>
      <c r="S315" s="218">
        <v>1778.5721739999999</v>
      </c>
      <c r="T315" s="180"/>
      <c r="Y315" s="218">
        <v>705.36371840000004</v>
      </c>
      <c r="Z315" s="180"/>
      <c r="AA315" s="218">
        <v>84147.586230000001</v>
      </c>
      <c r="AB315" s="180"/>
      <c r="AC315" s="252">
        <v>35.454588770000001</v>
      </c>
      <c r="AD315" s="180"/>
      <c r="AG315" s="218">
        <v>4.2133815549999998</v>
      </c>
      <c r="AH315" s="180"/>
      <c r="AM315" s="218">
        <v>79</v>
      </c>
      <c r="BS315" s="218">
        <v>50.164794899999997</v>
      </c>
      <c r="BT315" s="180"/>
      <c r="BU315" s="218">
        <v>19.894849799999999</v>
      </c>
      <c r="BV315" s="180"/>
    </row>
    <row r="316" spans="1:74">
      <c r="A316" s="154" t="s">
        <v>7846</v>
      </c>
      <c r="B316" s="224" t="s">
        <v>257</v>
      </c>
      <c r="C316" s="224" t="s">
        <v>7988</v>
      </c>
      <c r="D316" s="224"/>
      <c r="E316" s="222">
        <v>12</v>
      </c>
      <c r="F316" s="225">
        <v>11</v>
      </c>
      <c r="G316" s="223"/>
      <c r="I316" s="253">
        <v>32</v>
      </c>
      <c r="S316" s="218">
        <v>1587.013179</v>
      </c>
      <c r="T316" s="180"/>
      <c r="Y316" s="218">
        <v>641.62902099999997</v>
      </c>
      <c r="Z316" s="180"/>
      <c r="AA316" s="218">
        <v>74518.252380000005</v>
      </c>
      <c r="AB316" s="180"/>
      <c r="AC316" s="252">
        <v>31.661672209999999</v>
      </c>
      <c r="AD316" s="180"/>
      <c r="AG316" s="218">
        <v>4.2488479259999998</v>
      </c>
      <c r="AH316" s="180"/>
      <c r="AM316" s="218">
        <v>76</v>
      </c>
      <c r="BS316" s="218">
        <v>50.124111200000002</v>
      </c>
      <c r="BT316" s="180"/>
      <c r="BU316" s="218">
        <v>20.2651653</v>
      </c>
      <c r="BV316" s="180"/>
    </row>
    <row r="317" spans="1:74">
      <c r="A317" s="154" t="s">
        <v>7846</v>
      </c>
      <c r="B317" s="224" t="s">
        <v>257</v>
      </c>
      <c r="C317" s="224" t="s">
        <v>7989</v>
      </c>
      <c r="D317" s="224"/>
      <c r="E317" s="222">
        <v>14</v>
      </c>
      <c r="F317" s="225">
        <v>41</v>
      </c>
      <c r="G317" s="223"/>
      <c r="I317" s="253">
        <v>29</v>
      </c>
      <c r="S317" s="218">
        <v>1805.9101370000001</v>
      </c>
      <c r="T317" s="180"/>
      <c r="Y317" s="218">
        <v>663.90606560000003</v>
      </c>
      <c r="Z317" s="180"/>
      <c r="AA317" s="218">
        <v>85139.447029999996</v>
      </c>
      <c r="AB317" s="180"/>
      <c r="AC317" s="252">
        <v>35.20406594</v>
      </c>
      <c r="AD317" s="180"/>
      <c r="AG317" s="218">
        <v>4.1348713400000001</v>
      </c>
      <c r="AH317" s="180"/>
      <c r="AM317" s="218">
        <v>81</v>
      </c>
      <c r="BS317" s="218">
        <v>51.298339800000001</v>
      </c>
      <c r="BT317" s="180"/>
      <c r="BU317" s="218">
        <v>18.858789399999999</v>
      </c>
      <c r="BV317" s="180"/>
    </row>
    <row r="318" spans="1:74">
      <c r="A318" s="154" t="s">
        <v>7846</v>
      </c>
      <c r="B318" s="224" t="s">
        <v>259</v>
      </c>
      <c r="C318" s="224" t="s">
        <v>405</v>
      </c>
      <c r="D318" s="224"/>
      <c r="E318" s="222">
        <v>1</v>
      </c>
      <c r="F318" s="225">
        <v>52</v>
      </c>
      <c r="G318" s="223"/>
      <c r="I318" s="253">
        <v>37</v>
      </c>
      <c r="S318" s="218">
        <v>1514.3605230000001</v>
      </c>
      <c r="T318" s="180"/>
      <c r="Y318" s="218">
        <v>576.50475700000004</v>
      </c>
      <c r="Z318" s="180"/>
      <c r="AA318" s="218">
        <v>73602.752089999994</v>
      </c>
      <c r="AB318" s="180"/>
      <c r="AC318" s="252">
        <v>30.053913829999999</v>
      </c>
      <c r="AD318" s="180"/>
      <c r="AG318" s="218">
        <v>4.0832595219999996</v>
      </c>
      <c r="AH318" s="180"/>
      <c r="AM318" s="218">
        <v>81</v>
      </c>
      <c r="BS318" s="218">
        <v>50.388130199999999</v>
      </c>
      <c r="BT318" s="180"/>
      <c r="BU318" s="218">
        <v>19.182352099999999</v>
      </c>
      <c r="BV318" s="180"/>
    </row>
    <row r="319" spans="1:74">
      <c r="A319" s="154" t="s">
        <v>7846</v>
      </c>
      <c r="B319" s="224" t="s">
        <v>259</v>
      </c>
      <c r="C319" s="224" t="s">
        <v>7987</v>
      </c>
      <c r="D319" s="224"/>
      <c r="E319" s="223">
        <v>5</v>
      </c>
      <c r="F319" s="225">
        <v>6</v>
      </c>
      <c r="G319" s="223"/>
      <c r="I319" s="253">
        <v>40</v>
      </c>
      <c r="S319" s="218">
        <v>1727.5908649999999</v>
      </c>
      <c r="T319" s="180"/>
      <c r="Y319" s="218">
        <v>712.77304240000001</v>
      </c>
      <c r="Z319" s="180"/>
      <c r="AA319" s="218">
        <v>80886.32905</v>
      </c>
      <c r="AB319" s="180"/>
      <c r="AC319" s="252">
        <v>34.686791239999998</v>
      </c>
      <c r="AD319" s="180"/>
      <c r="AG319" s="218">
        <v>4.2883379250000004</v>
      </c>
      <c r="AH319" s="180"/>
      <c r="AM319" s="218">
        <v>81</v>
      </c>
      <c r="BS319" s="218">
        <v>49.805439</v>
      </c>
      <c r="BT319" s="180"/>
      <c r="BU319" s="218">
        <v>20.5488319</v>
      </c>
      <c r="BV319" s="180"/>
    </row>
    <row r="320" spans="1:74">
      <c r="A320" s="154" t="s">
        <v>7846</v>
      </c>
      <c r="B320" s="224" t="s">
        <v>259</v>
      </c>
      <c r="C320" s="224" t="s">
        <v>7988</v>
      </c>
      <c r="D320" s="224"/>
      <c r="E320" s="222">
        <v>9</v>
      </c>
      <c r="F320" s="225">
        <v>44</v>
      </c>
      <c r="G320" s="223"/>
      <c r="I320" s="253">
        <v>35</v>
      </c>
      <c r="S320" s="218" t="s">
        <v>7956</v>
      </c>
      <c r="T320" s="180"/>
      <c r="Y320" s="218" t="s">
        <v>7956</v>
      </c>
      <c r="Z320" s="180"/>
      <c r="AA320" s="218" t="s">
        <v>7956</v>
      </c>
      <c r="AB320" s="180"/>
      <c r="AC320" s="252" t="s">
        <v>7956</v>
      </c>
      <c r="AD320" s="180"/>
      <c r="AG320" s="218">
        <v>4.1613780599999997</v>
      </c>
      <c r="AH320" s="180"/>
      <c r="AM320" s="218">
        <v>79</v>
      </c>
      <c r="BS320" s="218">
        <v>48.617782599999998</v>
      </c>
      <c r="BT320" s="180"/>
      <c r="BU320" s="218">
        <v>21.1111526</v>
      </c>
      <c r="BV320" s="180"/>
    </row>
    <row r="321" spans="1:74">
      <c r="A321" s="154" t="s">
        <v>7846</v>
      </c>
      <c r="B321" s="224" t="s">
        <v>259</v>
      </c>
      <c r="C321" s="224" t="s">
        <v>7989</v>
      </c>
      <c r="D321" s="224"/>
      <c r="E321" s="222">
        <v>13</v>
      </c>
      <c r="F321" s="225">
        <v>30</v>
      </c>
      <c r="G321" s="223"/>
      <c r="I321" s="253">
        <v>33</v>
      </c>
      <c r="S321" s="218">
        <v>2190.1353239999999</v>
      </c>
      <c r="T321" s="180"/>
      <c r="Y321" s="218">
        <v>839.06122349999998</v>
      </c>
      <c r="Z321" s="180"/>
      <c r="AA321" s="218">
        <v>106122.52220000001</v>
      </c>
      <c r="AB321" s="180"/>
      <c r="AC321" s="252">
        <v>43.358895760000003</v>
      </c>
      <c r="AD321" s="180"/>
      <c r="AG321" s="218">
        <v>4.0857392829999997</v>
      </c>
      <c r="AH321" s="180"/>
      <c r="AM321" s="218">
        <v>79</v>
      </c>
      <c r="BS321" s="218">
        <v>50.511787400000003</v>
      </c>
      <c r="BT321" s="180"/>
      <c r="BU321" s="218">
        <v>19.351535800000001</v>
      </c>
      <c r="BV321" s="180"/>
    </row>
    <row r="322" spans="1:74">
      <c r="A322" s="154" t="s">
        <v>7750</v>
      </c>
      <c r="B322" s="224" t="s">
        <v>257</v>
      </c>
      <c r="C322" s="224" t="s">
        <v>405</v>
      </c>
      <c r="D322" s="224"/>
      <c r="E322" s="222">
        <v>3</v>
      </c>
      <c r="F322" s="225">
        <v>2</v>
      </c>
      <c r="G322" s="223"/>
      <c r="I322" s="253">
        <v>38</v>
      </c>
      <c r="S322" s="218">
        <v>1476.0178579999999</v>
      </c>
      <c r="T322" s="180"/>
      <c r="Y322" s="218">
        <v>547.86781069999995</v>
      </c>
      <c r="Z322" s="180"/>
      <c r="AA322" s="218">
        <v>56810.58266</v>
      </c>
      <c r="AB322" s="180"/>
      <c r="AC322" s="252">
        <v>30.272767229999999</v>
      </c>
      <c r="AD322" s="180"/>
      <c r="AG322" s="218">
        <v>5.3287197229999999</v>
      </c>
      <c r="AH322" s="180"/>
      <c r="AM322" s="218">
        <v>89</v>
      </c>
      <c r="BS322" s="218">
        <v>48.7572823</v>
      </c>
      <c r="BT322" s="180"/>
      <c r="BU322" s="218">
        <v>18.0977116</v>
      </c>
      <c r="BV322" s="180"/>
    </row>
    <row r="323" spans="1:74">
      <c r="A323" s="154" t="s">
        <v>7750</v>
      </c>
      <c r="B323" s="224" t="s">
        <v>257</v>
      </c>
      <c r="C323" s="224" t="s">
        <v>7987</v>
      </c>
      <c r="D323" s="224"/>
      <c r="E323" s="222">
        <v>5</v>
      </c>
      <c r="F323" s="225">
        <v>48</v>
      </c>
      <c r="G323" s="223"/>
      <c r="I323" s="253">
        <v>39</v>
      </c>
      <c r="S323" s="218">
        <v>1613.0163210000001</v>
      </c>
      <c r="T323" s="180"/>
      <c r="Y323" s="218">
        <v>650.97846379999999</v>
      </c>
      <c r="Z323" s="180"/>
      <c r="AA323" s="218">
        <v>61950.443700000003</v>
      </c>
      <c r="AB323" s="180"/>
      <c r="AC323" s="252">
        <v>33.463336300000002</v>
      </c>
      <c r="AD323" s="180"/>
      <c r="AG323" s="218">
        <v>5.4016298020000004</v>
      </c>
      <c r="AH323" s="180"/>
      <c r="AM323" s="218">
        <v>92</v>
      </c>
      <c r="BS323" s="218">
        <v>48.202495599999999</v>
      </c>
      <c r="BT323" s="180"/>
      <c r="BU323" s="218">
        <v>19.453483599999998</v>
      </c>
      <c r="BV323" s="180"/>
    </row>
    <row r="324" spans="1:74">
      <c r="A324" s="154" t="s">
        <v>7750</v>
      </c>
      <c r="B324" s="224" t="s">
        <v>257</v>
      </c>
      <c r="C324" s="224" t="s">
        <v>7988</v>
      </c>
      <c r="D324" s="224"/>
      <c r="E324" s="223">
        <v>9</v>
      </c>
      <c r="F324" s="225">
        <v>28</v>
      </c>
      <c r="G324" s="223"/>
      <c r="I324" s="253">
        <v>33</v>
      </c>
      <c r="S324" s="218">
        <v>1519.970742</v>
      </c>
      <c r="T324" s="180"/>
      <c r="Y324" s="218">
        <v>543.34729760000005</v>
      </c>
      <c r="Z324" s="180"/>
      <c r="AA324" s="218">
        <v>58053.301200000002</v>
      </c>
      <c r="AB324" s="180"/>
      <c r="AC324" s="252">
        <v>30.769590359999999</v>
      </c>
      <c r="AD324" s="180"/>
      <c r="AG324" s="218">
        <v>5.3002309470000002</v>
      </c>
      <c r="AH324" s="180"/>
      <c r="AM324" s="218">
        <v>92</v>
      </c>
      <c r="BS324" s="218">
        <v>49.398471800000003</v>
      </c>
      <c r="BT324" s="180"/>
      <c r="BU324" s="218">
        <v>17.658580799999999</v>
      </c>
      <c r="BV324" s="180"/>
    </row>
    <row r="325" spans="1:74">
      <c r="A325" s="154" t="s">
        <v>7750</v>
      </c>
      <c r="B325" s="224" t="s">
        <v>257</v>
      </c>
      <c r="C325" s="224" t="s">
        <v>7989</v>
      </c>
      <c r="D325" s="224"/>
      <c r="E325" s="223">
        <v>13</v>
      </c>
      <c r="F325" s="225">
        <v>42</v>
      </c>
      <c r="G325" s="223"/>
      <c r="I325" s="253">
        <v>36</v>
      </c>
      <c r="S325" s="218">
        <v>1814.714491</v>
      </c>
      <c r="T325" s="180"/>
      <c r="Y325" s="218">
        <v>639.3201785</v>
      </c>
      <c r="Z325" s="180"/>
      <c r="AA325" s="218">
        <v>68810.296409999995</v>
      </c>
      <c r="AB325" s="180"/>
      <c r="AC325" s="252">
        <v>36.187396870000001</v>
      </c>
      <c r="AD325" s="180"/>
      <c r="AG325" s="218">
        <v>5.2590090089999997</v>
      </c>
      <c r="AH325" s="180"/>
      <c r="AM325" s="218">
        <v>92</v>
      </c>
      <c r="BS325" s="218">
        <v>50.147693599999997</v>
      </c>
      <c r="BT325" s="180"/>
      <c r="BU325" s="218">
        <v>17.666929199999998</v>
      </c>
      <c r="BV325" s="180"/>
    </row>
    <row r="326" spans="1:74">
      <c r="A326" s="154" t="s">
        <v>7750</v>
      </c>
      <c r="B326" s="224" t="s">
        <v>259</v>
      </c>
      <c r="C326" s="224" t="s">
        <v>405</v>
      </c>
      <c r="D326" s="224"/>
      <c r="E326" s="222">
        <v>2</v>
      </c>
      <c r="F326" s="225">
        <v>51</v>
      </c>
      <c r="G326" s="223"/>
      <c r="I326" s="253">
        <v>35</v>
      </c>
      <c r="S326" s="218">
        <v>1800.4367549999999</v>
      </c>
      <c r="T326" s="180"/>
      <c r="Y326" s="218">
        <v>649.48534610000002</v>
      </c>
      <c r="Z326" s="180"/>
      <c r="AA326" s="218">
        <v>66356.596439999994</v>
      </c>
      <c r="AB326" s="180"/>
      <c r="AC326" s="252">
        <v>36.330630589999998</v>
      </c>
      <c r="AD326" s="180"/>
      <c r="AG326" s="218">
        <v>5.4750593820000004</v>
      </c>
      <c r="AH326" s="180"/>
      <c r="AM326" s="218">
        <v>92</v>
      </c>
      <c r="BS326" s="218">
        <v>49.556991600000003</v>
      </c>
      <c r="BT326" s="180"/>
      <c r="BU326" s="218">
        <v>17.877073299999999</v>
      </c>
      <c r="BV326" s="180"/>
    </row>
    <row r="327" spans="1:74">
      <c r="A327" s="154" t="s">
        <v>7750</v>
      </c>
      <c r="B327" s="224" t="s">
        <v>259</v>
      </c>
      <c r="C327" s="224" t="s">
        <v>7987</v>
      </c>
      <c r="D327" s="224"/>
      <c r="E327" s="222">
        <v>7</v>
      </c>
      <c r="F327" s="225">
        <v>21</v>
      </c>
      <c r="G327" s="223"/>
      <c r="I327" s="253">
        <v>31</v>
      </c>
      <c r="S327" s="218">
        <v>1757.09979</v>
      </c>
      <c r="T327" s="180"/>
      <c r="Y327" s="218">
        <v>706.69945729999995</v>
      </c>
      <c r="Z327" s="180"/>
      <c r="AA327" s="218">
        <v>73049.543860000005</v>
      </c>
      <c r="AB327" s="180"/>
      <c r="AC327" s="252">
        <v>36.686385960000003</v>
      </c>
      <c r="AD327" s="180"/>
      <c r="AG327" s="218">
        <v>5.0221238939999999</v>
      </c>
      <c r="AH327" s="180"/>
      <c r="AM327" s="218">
        <v>92</v>
      </c>
      <c r="BS327" s="218">
        <v>47.895145399999997</v>
      </c>
      <c r="BT327" s="180"/>
      <c r="BU327" s="218">
        <v>19.263261799999999</v>
      </c>
      <c r="BV327" s="180"/>
    </row>
    <row r="328" spans="1:74">
      <c r="A328" s="154" t="s">
        <v>7750</v>
      </c>
      <c r="B328" s="224" t="s">
        <v>259</v>
      </c>
      <c r="C328" s="224" t="s">
        <v>7988</v>
      </c>
      <c r="D328" s="224"/>
      <c r="E328" s="222">
        <v>12</v>
      </c>
      <c r="F328" s="225">
        <v>43</v>
      </c>
      <c r="G328" s="223"/>
      <c r="I328" s="253">
        <v>35</v>
      </c>
      <c r="S328" s="218">
        <v>1593.494224</v>
      </c>
      <c r="T328" s="180"/>
      <c r="Y328" s="218">
        <v>649.02543009999999</v>
      </c>
      <c r="Z328" s="180"/>
      <c r="AA328" s="218">
        <v>60128</v>
      </c>
      <c r="AB328" s="180"/>
      <c r="AC328" s="252">
        <v>33.404444439999999</v>
      </c>
      <c r="AD328" s="180"/>
      <c r="AG328" s="218">
        <v>5.5555555559999998</v>
      </c>
      <c r="AH328" s="180"/>
      <c r="AM328" s="218">
        <v>92</v>
      </c>
      <c r="BS328" s="218">
        <v>47.703060200000003</v>
      </c>
      <c r="BT328" s="180"/>
      <c r="BU328" s="218">
        <v>19.429313700000002</v>
      </c>
      <c r="BV328" s="180"/>
    </row>
    <row r="329" spans="1:74">
      <c r="A329" s="154" t="s">
        <v>7750</v>
      </c>
      <c r="B329" s="224" t="s">
        <v>259</v>
      </c>
      <c r="C329" s="224" t="s">
        <v>7989</v>
      </c>
      <c r="D329" s="224"/>
      <c r="E329" s="222">
        <v>14</v>
      </c>
      <c r="F329" s="225">
        <v>13</v>
      </c>
      <c r="G329" s="223"/>
      <c r="I329" s="253">
        <v>35</v>
      </c>
      <c r="S329" s="218">
        <v>1580.8316649999999</v>
      </c>
      <c r="T329" s="180"/>
      <c r="Y329" s="218">
        <v>658.91559310000002</v>
      </c>
      <c r="Z329" s="180"/>
      <c r="AA329" s="218">
        <v>60279.507559999998</v>
      </c>
      <c r="AB329" s="180"/>
      <c r="AC329" s="252">
        <v>33.100226640000002</v>
      </c>
      <c r="AD329" s="180"/>
      <c r="AG329" s="218">
        <v>5.4911242600000003</v>
      </c>
      <c r="AH329" s="180"/>
      <c r="AM329" s="218">
        <v>89</v>
      </c>
      <c r="BS329" s="218">
        <v>47.758937799999998</v>
      </c>
      <c r="BT329" s="180"/>
      <c r="BU329" s="218">
        <v>19.906679199999999</v>
      </c>
      <c r="BV329" s="180"/>
    </row>
    <row r="330" spans="1:74">
      <c r="A330" s="154" t="s">
        <v>7751</v>
      </c>
      <c r="B330" s="224" t="s">
        <v>257</v>
      </c>
      <c r="C330" s="224" t="s">
        <v>405</v>
      </c>
      <c r="D330" s="224"/>
      <c r="E330" s="223">
        <v>3</v>
      </c>
      <c r="F330" s="225">
        <v>10</v>
      </c>
      <c r="G330" s="223"/>
      <c r="I330" s="253">
        <v>37</v>
      </c>
      <c r="S330" s="218">
        <v>1396.6145019999999</v>
      </c>
      <c r="T330" s="180"/>
      <c r="Y330" s="218">
        <v>518.93115020000005</v>
      </c>
      <c r="Z330" s="180"/>
      <c r="AA330" s="218">
        <v>58761.776010000001</v>
      </c>
      <c r="AB330" s="180"/>
      <c r="AC330" s="252">
        <v>27.708804950000001</v>
      </c>
      <c r="AD330" s="180"/>
      <c r="AG330" s="218">
        <v>4.7154471539999996</v>
      </c>
      <c r="AH330" s="180"/>
      <c r="AM330" s="218">
        <v>92</v>
      </c>
      <c r="BS330" s="218">
        <v>50.403274500000002</v>
      </c>
      <c r="BT330" s="180"/>
      <c r="BU330" s="218">
        <v>18.728023499999999</v>
      </c>
      <c r="BV330" s="180"/>
    </row>
    <row r="331" spans="1:74">
      <c r="A331" s="154" t="s">
        <v>7751</v>
      </c>
      <c r="B331" s="224" t="s">
        <v>257</v>
      </c>
      <c r="C331" s="224" t="s">
        <v>7987</v>
      </c>
      <c r="D331" s="224"/>
      <c r="E331" s="223">
        <v>7</v>
      </c>
      <c r="F331" s="225">
        <v>50</v>
      </c>
      <c r="G331" s="223"/>
      <c r="I331" s="253">
        <v>31</v>
      </c>
      <c r="S331" s="218">
        <v>2110.4033300000001</v>
      </c>
      <c r="T331" s="180"/>
      <c r="Y331" s="218">
        <v>827.18923759999996</v>
      </c>
      <c r="Z331" s="180"/>
      <c r="AA331" s="218">
        <v>91731.079280000005</v>
      </c>
      <c r="AB331" s="180"/>
      <c r="AC331" s="252">
        <v>42.964952150000002</v>
      </c>
      <c r="AD331" s="180"/>
      <c r="AG331" s="218">
        <v>4.6837944660000002</v>
      </c>
      <c r="AH331" s="180"/>
      <c r="AM331" s="218">
        <v>92</v>
      </c>
      <c r="BS331" s="218">
        <v>49.119182600000002</v>
      </c>
      <c r="BT331" s="180"/>
      <c r="BU331" s="218">
        <v>19.252651199999999</v>
      </c>
      <c r="BV331" s="180"/>
    </row>
    <row r="332" spans="1:74">
      <c r="A332" s="154" t="s">
        <v>7751</v>
      </c>
      <c r="B332" s="224" t="s">
        <v>257</v>
      </c>
      <c r="C332" s="224" t="s">
        <v>7988</v>
      </c>
      <c r="D332" s="224"/>
      <c r="E332" s="222">
        <v>9</v>
      </c>
      <c r="F332" s="225">
        <v>19</v>
      </c>
      <c r="G332" s="223"/>
      <c r="I332" s="253">
        <v>34</v>
      </c>
      <c r="S332" s="218">
        <v>1665.9067669999999</v>
      </c>
      <c r="T332" s="180"/>
      <c r="Y332" s="218">
        <v>586.86429889999999</v>
      </c>
      <c r="Z332" s="180"/>
      <c r="AA332" s="218">
        <v>67174.582779999997</v>
      </c>
      <c r="AB332" s="180"/>
      <c r="AC332" s="252">
        <v>32.472360549999998</v>
      </c>
      <c r="AD332" s="180"/>
      <c r="AG332" s="218">
        <v>4.8340248959999998</v>
      </c>
      <c r="AH332" s="180"/>
      <c r="AM332" s="218">
        <v>92</v>
      </c>
      <c r="BS332" s="218">
        <v>51.302299499999997</v>
      </c>
      <c r="BT332" s="180"/>
      <c r="BU332" s="218">
        <v>18.072732899999998</v>
      </c>
      <c r="BV332" s="180"/>
    </row>
    <row r="333" spans="1:74">
      <c r="A333" s="154" t="s">
        <v>7751</v>
      </c>
      <c r="B333" s="224" t="s">
        <v>257</v>
      </c>
      <c r="C333" s="224" t="s">
        <v>7989</v>
      </c>
      <c r="D333" s="224"/>
      <c r="E333" s="222">
        <v>14</v>
      </c>
      <c r="F333" s="225">
        <v>47</v>
      </c>
      <c r="G333" s="223"/>
      <c r="I333" s="253">
        <v>40</v>
      </c>
      <c r="S333" s="218">
        <v>1591.8890879999999</v>
      </c>
      <c r="T333" s="180"/>
      <c r="Y333" s="218">
        <v>581.22793609999997</v>
      </c>
      <c r="Z333" s="180"/>
      <c r="AA333" s="218">
        <v>67384.145489999995</v>
      </c>
      <c r="AB333" s="180"/>
      <c r="AC333" s="252">
        <v>31.396420490000001</v>
      </c>
      <c r="AD333" s="180"/>
      <c r="AG333" s="218">
        <v>4.6593186370000002</v>
      </c>
      <c r="AH333" s="180"/>
      <c r="AM333" s="218">
        <v>92</v>
      </c>
      <c r="BS333" s="218">
        <v>50.702884699999998</v>
      </c>
      <c r="BT333" s="180"/>
      <c r="BU333" s="218">
        <v>18.5125542</v>
      </c>
      <c r="BV333" s="180"/>
    </row>
    <row r="334" spans="1:74">
      <c r="A334" s="154" t="s">
        <v>7751</v>
      </c>
      <c r="B334" s="224" t="s">
        <v>259</v>
      </c>
      <c r="C334" s="224" t="s">
        <v>405</v>
      </c>
      <c r="D334" s="224"/>
      <c r="E334" s="222">
        <v>4</v>
      </c>
      <c r="F334" s="225">
        <v>44</v>
      </c>
      <c r="G334" s="223"/>
      <c r="I334" s="253">
        <v>36</v>
      </c>
      <c r="S334" s="218">
        <v>2029.3397150000001</v>
      </c>
      <c r="T334" s="180"/>
      <c r="Y334" s="218">
        <v>805.46988180000005</v>
      </c>
      <c r="Z334" s="180"/>
      <c r="AA334" s="218">
        <v>85929.472640000007</v>
      </c>
      <c r="AB334" s="180"/>
      <c r="AC334" s="252">
        <v>40.73564013</v>
      </c>
      <c r="AD334" s="180"/>
      <c r="AG334" s="218">
        <v>4.740590031</v>
      </c>
      <c r="AH334" s="180"/>
      <c r="AM334" s="218">
        <v>94</v>
      </c>
      <c r="BS334" s="218">
        <v>49.817302699999999</v>
      </c>
      <c r="BT334" s="180"/>
      <c r="BU334" s="218">
        <v>19.773099899999998</v>
      </c>
      <c r="BV334" s="180"/>
    </row>
    <row r="335" spans="1:74">
      <c r="A335" s="154" t="s">
        <v>7751</v>
      </c>
      <c r="B335" s="224" t="s">
        <v>259</v>
      </c>
      <c r="C335" s="224" t="s">
        <v>7987</v>
      </c>
      <c r="D335" s="224"/>
      <c r="E335" s="222">
        <v>8</v>
      </c>
      <c r="F335" s="225">
        <v>21</v>
      </c>
      <c r="G335" s="223"/>
      <c r="I335" s="253">
        <v>34</v>
      </c>
      <c r="S335" s="218">
        <v>2040.8600530000001</v>
      </c>
      <c r="T335" s="180"/>
      <c r="Y335" s="218">
        <v>785.78649189999999</v>
      </c>
      <c r="Z335" s="180"/>
      <c r="AA335" s="218">
        <v>85951.52936</v>
      </c>
      <c r="AB335" s="180"/>
      <c r="AC335" s="252">
        <v>40.760519080000002</v>
      </c>
      <c r="AD335" s="180"/>
      <c r="AG335" s="218">
        <v>4.742268041</v>
      </c>
      <c r="AH335" s="180"/>
      <c r="AM335" s="218">
        <v>92</v>
      </c>
      <c r="BS335" s="218">
        <v>50.069530499999999</v>
      </c>
      <c r="BT335" s="180"/>
      <c r="BU335" s="218">
        <v>19.278127699999999</v>
      </c>
      <c r="BV335" s="180"/>
    </row>
    <row r="336" spans="1:74">
      <c r="A336" s="154" t="s">
        <v>7751</v>
      </c>
      <c r="B336" s="224" t="s">
        <v>259</v>
      </c>
      <c r="C336" s="224" t="s">
        <v>7988</v>
      </c>
      <c r="D336" s="224"/>
      <c r="E336" s="222">
        <v>9</v>
      </c>
      <c r="F336" s="225">
        <v>61</v>
      </c>
      <c r="G336" s="223"/>
      <c r="I336" s="253">
        <v>36</v>
      </c>
      <c r="S336" s="218">
        <v>1909.756965</v>
      </c>
      <c r="T336" s="180"/>
      <c r="Y336" s="218">
        <v>787.87694550000003</v>
      </c>
      <c r="Z336" s="180"/>
      <c r="AA336" s="218">
        <v>84796.512940000001</v>
      </c>
      <c r="AB336" s="180"/>
      <c r="AC336" s="252">
        <v>38.921599440000001</v>
      </c>
      <c r="AD336" s="180"/>
      <c r="AG336" s="218">
        <v>4.59</v>
      </c>
      <c r="AH336" s="180"/>
      <c r="AM336" s="218">
        <v>92</v>
      </c>
      <c r="BS336" s="218">
        <v>49.066764800000001</v>
      </c>
      <c r="BT336" s="180"/>
      <c r="BU336" s="218">
        <v>20.242666199999999</v>
      </c>
      <c r="BV336" s="180"/>
    </row>
    <row r="337" spans="1:74">
      <c r="A337" s="154" t="s">
        <v>7751</v>
      </c>
      <c r="B337" s="224" t="s">
        <v>259</v>
      </c>
      <c r="C337" s="224" t="s">
        <v>7989</v>
      </c>
      <c r="D337" s="224"/>
      <c r="E337" s="223">
        <v>13</v>
      </c>
      <c r="F337" s="225">
        <v>18</v>
      </c>
      <c r="G337" s="223"/>
      <c r="I337" s="253">
        <v>34</v>
      </c>
      <c r="S337" s="218">
        <v>1835.117853</v>
      </c>
      <c r="T337" s="180"/>
      <c r="Y337" s="218">
        <v>708.96723689999999</v>
      </c>
      <c r="Z337" s="180"/>
      <c r="AA337" s="218">
        <v>78339.582500000004</v>
      </c>
      <c r="AB337" s="180"/>
      <c r="AC337" s="252">
        <v>36.41689427</v>
      </c>
      <c r="AD337" s="180"/>
      <c r="AG337" s="218">
        <v>4.6485943780000003</v>
      </c>
      <c r="AH337" s="180"/>
      <c r="AM337" s="218">
        <v>89</v>
      </c>
      <c r="BS337" s="218">
        <v>50.391937300000002</v>
      </c>
      <c r="BT337" s="180"/>
      <c r="BU337" s="218">
        <v>19.468086199999998</v>
      </c>
      <c r="BV337" s="180"/>
    </row>
    <row r="338" spans="1:74">
      <c r="A338" s="154" t="s">
        <v>7752</v>
      </c>
      <c r="B338" s="224" t="s">
        <v>257</v>
      </c>
      <c r="C338" s="224" t="s">
        <v>405</v>
      </c>
      <c r="D338" s="224"/>
      <c r="E338" s="222">
        <v>3</v>
      </c>
      <c r="F338" s="225">
        <v>9</v>
      </c>
      <c r="G338" s="223"/>
      <c r="I338" s="253">
        <v>30</v>
      </c>
      <c r="S338" s="218">
        <v>1469.0566690000001</v>
      </c>
      <c r="T338" s="180"/>
      <c r="Y338" s="218">
        <v>529.11090479999996</v>
      </c>
      <c r="Z338" s="180"/>
      <c r="AA338" s="218">
        <v>63622.769370000002</v>
      </c>
      <c r="AB338" s="180"/>
      <c r="AC338" s="252">
        <v>28.908088530000001</v>
      </c>
      <c r="AD338" s="180"/>
      <c r="AG338" s="218">
        <v>4.5436702650000003</v>
      </c>
      <c r="AH338" s="180"/>
      <c r="AM338" s="218">
        <v>92</v>
      </c>
      <c r="BS338" s="218">
        <v>50.818187700000003</v>
      </c>
      <c r="BT338" s="180"/>
      <c r="BU338" s="218">
        <v>18.303213100000001</v>
      </c>
      <c r="BV338" s="180"/>
    </row>
    <row r="339" spans="1:74">
      <c r="A339" s="154" t="s">
        <v>7752</v>
      </c>
      <c r="B339" s="224" t="s">
        <v>257</v>
      </c>
      <c r="C339" s="224" t="s">
        <v>7987</v>
      </c>
      <c r="D339" s="224"/>
      <c r="E339" s="222">
        <v>7</v>
      </c>
      <c r="F339" s="225">
        <v>53</v>
      </c>
      <c r="G339" s="223"/>
      <c r="I339" s="253">
        <v>27</v>
      </c>
      <c r="S339" s="218">
        <v>1830.6394749999999</v>
      </c>
      <c r="T339" s="180"/>
      <c r="Y339" s="218">
        <v>678.10386679999999</v>
      </c>
      <c r="Z339" s="180"/>
      <c r="AA339" s="218">
        <v>78680.359079999995</v>
      </c>
      <c r="AB339" s="180"/>
      <c r="AC339" s="252">
        <v>36.146224369999999</v>
      </c>
      <c r="AD339" s="180"/>
      <c r="AG339" s="218">
        <v>4.5940594060000004</v>
      </c>
      <c r="AH339" s="180"/>
      <c r="AM339" s="218">
        <v>92</v>
      </c>
      <c r="BS339" s="218">
        <v>50.645385699999999</v>
      </c>
      <c r="BT339" s="180"/>
      <c r="BU339" s="218">
        <v>18.7600193</v>
      </c>
      <c r="BV339" s="180"/>
    </row>
    <row r="340" spans="1:74">
      <c r="A340" s="154" t="s">
        <v>7752</v>
      </c>
      <c r="B340" s="224" t="s">
        <v>257</v>
      </c>
      <c r="C340" s="224" t="s">
        <v>7988</v>
      </c>
      <c r="D340" s="224"/>
      <c r="E340" s="222">
        <v>11</v>
      </c>
      <c r="F340" s="225">
        <v>18</v>
      </c>
      <c r="G340" s="223"/>
      <c r="I340" s="253">
        <v>34</v>
      </c>
      <c r="S340" s="218">
        <v>1530.2169389999999</v>
      </c>
      <c r="T340" s="180"/>
      <c r="Y340" s="218">
        <v>535.78767230000005</v>
      </c>
      <c r="Z340" s="180"/>
      <c r="AA340" s="218">
        <v>67047.196479999999</v>
      </c>
      <c r="AB340" s="180"/>
      <c r="AC340" s="252">
        <v>30.440214449999999</v>
      </c>
      <c r="AD340" s="180"/>
      <c r="AG340" s="218">
        <v>4.5401174170000003</v>
      </c>
      <c r="AH340" s="180"/>
      <c r="AM340" s="218">
        <v>92</v>
      </c>
      <c r="BS340" s="218">
        <v>50.269584700000003</v>
      </c>
      <c r="BT340" s="180"/>
      <c r="BU340" s="218">
        <v>17.601310699999999</v>
      </c>
      <c r="BV340" s="180"/>
    </row>
    <row r="341" spans="1:74">
      <c r="A341" s="154" t="s">
        <v>7752</v>
      </c>
      <c r="B341" s="224" t="s">
        <v>257</v>
      </c>
      <c r="C341" s="224" t="s">
        <v>7989</v>
      </c>
      <c r="D341" s="224"/>
      <c r="E341" s="222">
        <v>14</v>
      </c>
      <c r="F341" s="225">
        <v>51</v>
      </c>
      <c r="G341" s="223"/>
      <c r="I341" s="253">
        <v>30</v>
      </c>
      <c r="S341" s="218">
        <v>1692.549227</v>
      </c>
      <c r="T341" s="180"/>
      <c r="Y341" s="218">
        <v>682.87203920000002</v>
      </c>
      <c r="Z341" s="180"/>
      <c r="AA341" s="218">
        <v>78694.131739999997</v>
      </c>
      <c r="AB341" s="180"/>
      <c r="AC341" s="252">
        <v>33.955060549999999</v>
      </c>
      <c r="AD341" s="180"/>
      <c r="AG341" s="218">
        <v>4.3148148150000001</v>
      </c>
      <c r="AH341" s="180"/>
      <c r="AM341" s="218">
        <v>89</v>
      </c>
      <c r="BS341" s="218">
        <v>49.8467445</v>
      </c>
      <c r="BT341" s="180"/>
      <c r="BU341" s="218">
        <v>20.111053500000001</v>
      </c>
      <c r="BV341" s="180"/>
    </row>
    <row r="342" spans="1:74">
      <c r="A342" s="154" t="s">
        <v>7752</v>
      </c>
      <c r="B342" s="224" t="s">
        <v>259</v>
      </c>
      <c r="C342" s="224" t="s">
        <v>405</v>
      </c>
      <c r="D342" s="224"/>
      <c r="E342" s="223">
        <v>2</v>
      </c>
      <c r="F342" s="225">
        <v>57</v>
      </c>
      <c r="G342" s="223"/>
      <c r="I342" s="253">
        <v>29</v>
      </c>
      <c r="S342" s="218">
        <v>1758.831823</v>
      </c>
      <c r="T342" s="180"/>
      <c r="Y342" s="218">
        <v>676.93242659999999</v>
      </c>
      <c r="Z342" s="180"/>
      <c r="AA342" s="218">
        <v>77509.957630000004</v>
      </c>
      <c r="AB342" s="180"/>
      <c r="AC342" s="252">
        <v>35.120503999999997</v>
      </c>
      <c r="AD342" s="180"/>
      <c r="AG342" s="218">
        <v>4.5310957549999999</v>
      </c>
      <c r="AH342" s="180"/>
      <c r="AM342" s="218">
        <v>92</v>
      </c>
      <c r="BS342" s="218">
        <v>50.079914100000003</v>
      </c>
      <c r="BT342" s="180"/>
      <c r="BU342" s="218">
        <v>19.274564699999999</v>
      </c>
      <c r="BV342" s="180"/>
    </row>
    <row r="343" spans="1:74">
      <c r="A343" s="154" t="s">
        <v>7752</v>
      </c>
      <c r="B343" s="224" t="s">
        <v>259</v>
      </c>
      <c r="C343" s="224" t="s">
        <v>7987</v>
      </c>
      <c r="D343" s="224"/>
      <c r="E343" s="223">
        <v>5</v>
      </c>
      <c r="F343" s="225">
        <v>19</v>
      </c>
      <c r="G343" s="223"/>
      <c r="I343" s="253">
        <v>34</v>
      </c>
      <c r="S343" s="218">
        <v>1830.5262749999999</v>
      </c>
      <c r="T343" s="180"/>
      <c r="Y343" s="218">
        <v>703.46504449999998</v>
      </c>
      <c r="Z343" s="180"/>
      <c r="AA343" s="218">
        <v>79985.449040000007</v>
      </c>
      <c r="AB343" s="180"/>
      <c r="AC343" s="252">
        <v>36.591583730000004</v>
      </c>
      <c r="AD343" s="180"/>
      <c r="AG343" s="218">
        <v>4.5747800590000001</v>
      </c>
      <c r="AH343" s="180"/>
      <c r="AM343" s="218">
        <v>89</v>
      </c>
      <c r="BS343" s="218">
        <v>50.025882699999997</v>
      </c>
      <c r="BT343" s="180"/>
      <c r="BU343" s="218">
        <v>19.224777199999998</v>
      </c>
      <c r="BV343" s="180"/>
    </row>
    <row r="344" spans="1:74">
      <c r="A344" s="154" t="s">
        <v>7752</v>
      </c>
      <c r="B344" s="224" t="s">
        <v>259</v>
      </c>
      <c r="C344" s="224" t="s">
        <v>7988</v>
      </c>
      <c r="D344" s="224"/>
      <c r="E344" s="222">
        <v>9</v>
      </c>
      <c r="F344" s="225">
        <v>56</v>
      </c>
      <c r="G344" s="223"/>
      <c r="I344" s="253">
        <v>38</v>
      </c>
      <c r="S344" s="218">
        <v>2125.7335589999998</v>
      </c>
      <c r="T344" s="180"/>
      <c r="Y344" s="218">
        <v>850.20100560000003</v>
      </c>
      <c r="Z344" s="180"/>
      <c r="AA344" s="218">
        <v>92523.404750000002</v>
      </c>
      <c r="AB344" s="180"/>
      <c r="AC344" s="252">
        <v>43.146118340000001</v>
      </c>
      <c r="AD344" s="180"/>
      <c r="AG344" s="218">
        <v>4.6632653060000004</v>
      </c>
      <c r="AH344" s="180"/>
      <c r="AM344" s="218">
        <v>92</v>
      </c>
      <c r="BS344" s="218">
        <v>49.268245700000001</v>
      </c>
      <c r="BT344" s="180"/>
      <c r="BU344" s="218">
        <v>19.705156299999999</v>
      </c>
      <c r="BV344" s="180"/>
    </row>
    <row r="345" spans="1:74">
      <c r="A345" s="154" t="s">
        <v>7752</v>
      </c>
      <c r="B345" s="224" t="s">
        <v>259</v>
      </c>
      <c r="C345" s="224" t="s">
        <v>7989</v>
      </c>
      <c r="D345" s="224"/>
      <c r="E345" s="222">
        <v>16</v>
      </c>
      <c r="F345" s="225">
        <v>29</v>
      </c>
      <c r="G345" s="223"/>
      <c r="I345" s="253">
        <v>41</v>
      </c>
      <c r="S345" s="218">
        <v>1796.218108</v>
      </c>
      <c r="T345" s="180"/>
      <c r="Y345" s="218">
        <v>735.98579500000005</v>
      </c>
      <c r="Z345" s="180"/>
      <c r="AA345" s="218">
        <v>80494.062539999999</v>
      </c>
      <c r="AB345" s="180"/>
      <c r="AC345" s="252">
        <v>36.9063686</v>
      </c>
      <c r="AD345" s="180"/>
      <c r="AG345" s="218">
        <v>4.5849802369999999</v>
      </c>
      <c r="AH345" s="180"/>
      <c r="AM345" s="218">
        <v>92</v>
      </c>
      <c r="BS345" s="218">
        <v>48.669597600000003</v>
      </c>
      <c r="BT345" s="180"/>
      <c r="BU345" s="218">
        <v>19.941972700000001</v>
      </c>
      <c r="BV345" s="180"/>
    </row>
    <row r="346" spans="1:74">
      <c r="A346" s="154" t="s">
        <v>7865</v>
      </c>
      <c r="B346" s="224" t="s">
        <v>257</v>
      </c>
      <c r="C346" s="224" t="s">
        <v>405</v>
      </c>
      <c r="D346" s="224"/>
      <c r="E346" s="222">
        <v>2</v>
      </c>
      <c r="F346" s="225">
        <v>6</v>
      </c>
      <c r="G346" s="223"/>
      <c r="I346" s="253" t="s">
        <v>7956</v>
      </c>
      <c r="S346" s="218" t="s">
        <v>7956</v>
      </c>
      <c r="T346" s="180"/>
      <c r="Y346" s="218" t="s">
        <v>7956</v>
      </c>
      <c r="Z346" s="180"/>
      <c r="AA346" s="218" t="s">
        <v>7956</v>
      </c>
      <c r="AB346" s="180"/>
      <c r="AC346" s="252" t="s">
        <v>7956</v>
      </c>
      <c r="AD346" s="180"/>
      <c r="AG346" s="218" t="s">
        <v>7956</v>
      </c>
      <c r="AH346" s="180"/>
      <c r="AM346" s="218" t="s">
        <v>7956</v>
      </c>
      <c r="BS346" s="218" t="s">
        <v>7956</v>
      </c>
      <c r="BT346" s="180"/>
      <c r="BU346" s="218" t="s">
        <v>7956</v>
      </c>
      <c r="BV346" s="180"/>
    </row>
    <row r="347" spans="1:74">
      <c r="A347" s="154" t="s">
        <v>7865</v>
      </c>
      <c r="B347" s="224" t="s">
        <v>257</v>
      </c>
      <c r="C347" s="224" t="s">
        <v>7987</v>
      </c>
      <c r="D347" s="224"/>
      <c r="E347" s="222">
        <v>7</v>
      </c>
      <c r="F347" s="225">
        <v>48</v>
      </c>
      <c r="G347" s="223"/>
      <c r="I347" s="253">
        <v>40</v>
      </c>
      <c r="S347" s="218">
        <v>1375.5293690000001</v>
      </c>
      <c r="T347" s="180"/>
      <c r="Y347" s="218">
        <v>495.19895910000002</v>
      </c>
      <c r="Z347" s="180"/>
      <c r="AA347" s="218">
        <v>58579.97292</v>
      </c>
      <c r="AB347" s="180"/>
      <c r="AC347" s="252">
        <v>26.637743589999999</v>
      </c>
      <c r="AD347" s="180"/>
      <c r="AG347" s="218">
        <v>4.5472440939999998</v>
      </c>
      <c r="AH347" s="180"/>
      <c r="AM347" s="218">
        <v>92</v>
      </c>
      <c r="BS347" s="218">
        <v>51.638359100000002</v>
      </c>
      <c r="BT347" s="180"/>
      <c r="BU347" s="218">
        <v>18.590124100000001</v>
      </c>
      <c r="BV347" s="180"/>
    </row>
    <row r="348" spans="1:74">
      <c r="A348" s="154" t="s">
        <v>7865</v>
      </c>
      <c r="B348" s="224" t="s">
        <v>257</v>
      </c>
      <c r="C348" s="224" t="s">
        <v>7988</v>
      </c>
      <c r="D348" s="224"/>
      <c r="E348" s="223">
        <v>12</v>
      </c>
      <c r="F348" s="225">
        <v>30</v>
      </c>
      <c r="G348" s="223"/>
      <c r="I348" s="253">
        <v>35</v>
      </c>
      <c r="S348" s="218">
        <v>1632.123591</v>
      </c>
      <c r="T348" s="180"/>
      <c r="Y348" s="218">
        <v>613.53305030000001</v>
      </c>
      <c r="Z348" s="180"/>
      <c r="AA348" s="218">
        <v>62832.183109999998</v>
      </c>
      <c r="AB348" s="180"/>
      <c r="AC348" s="252">
        <v>32.32568886</v>
      </c>
      <c r="AD348" s="180"/>
      <c r="AG348" s="218">
        <v>5.1447661470000003</v>
      </c>
      <c r="AH348" s="180"/>
      <c r="AM348" s="218">
        <v>89</v>
      </c>
      <c r="BS348" s="218">
        <v>50.489986399999999</v>
      </c>
      <c r="BT348" s="180"/>
      <c r="BU348" s="218">
        <v>18.979736299999999</v>
      </c>
      <c r="BV348" s="180"/>
    </row>
    <row r="349" spans="1:74">
      <c r="A349" s="154" t="s">
        <v>7865</v>
      </c>
      <c r="B349" s="224" t="s">
        <v>257</v>
      </c>
      <c r="C349" s="224" t="s">
        <v>7989</v>
      </c>
      <c r="D349" s="224"/>
      <c r="E349" s="223">
        <v>14</v>
      </c>
      <c r="F349" s="225">
        <v>39</v>
      </c>
      <c r="G349" s="223"/>
      <c r="I349" s="253">
        <v>37</v>
      </c>
      <c r="S349" s="218">
        <v>1487.8814769999999</v>
      </c>
      <c r="T349" s="180"/>
      <c r="Y349" s="218">
        <v>529.17638369999997</v>
      </c>
      <c r="Z349" s="180"/>
      <c r="AA349" s="218">
        <v>56958.307439999997</v>
      </c>
      <c r="AB349" s="180"/>
      <c r="AC349" s="252">
        <v>28.845838100000002</v>
      </c>
      <c r="AD349" s="180"/>
      <c r="AG349" s="218">
        <v>5.0643776819999999</v>
      </c>
      <c r="AH349" s="180"/>
      <c r="AM349" s="218">
        <v>89</v>
      </c>
      <c r="BS349" s="218">
        <v>51.580455800000003</v>
      </c>
      <c r="BT349" s="180"/>
      <c r="BU349" s="218">
        <v>18.344982099999999</v>
      </c>
      <c r="BV349" s="180"/>
    </row>
    <row r="350" spans="1:74">
      <c r="A350" s="154" t="s">
        <v>7865</v>
      </c>
      <c r="B350" s="224" t="s">
        <v>259</v>
      </c>
      <c r="C350" s="224" t="s">
        <v>405</v>
      </c>
      <c r="D350" s="224"/>
      <c r="E350" s="222">
        <v>2</v>
      </c>
      <c r="F350" s="225">
        <v>53</v>
      </c>
      <c r="G350" s="223"/>
      <c r="I350" s="253">
        <v>39</v>
      </c>
      <c r="S350" s="218">
        <v>1500.8574590000001</v>
      </c>
      <c r="T350" s="180"/>
      <c r="Y350" s="218">
        <v>551.16595600000005</v>
      </c>
      <c r="Z350" s="180"/>
      <c r="AA350" s="218">
        <v>58634.630949999999</v>
      </c>
      <c r="AB350" s="180"/>
      <c r="AC350" s="252">
        <v>29.317315480000001</v>
      </c>
      <c r="AD350" s="180"/>
      <c r="AG350" s="218">
        <v>5</v>
      </c>
      <c r="AH350" s="180"/>
      <c r="AM350" s="218">
        <v>89</v>
      </c>
      <c r="BS350" s="218">
        <v>51.193550100000003</v>
      </c>
      <c r="BT350" s="180"/>
      <c r="BU350" s="218">
        <v>18.8000145</v>
      </c>
      <c r="BV350" s="180"/>
    </row>
    <row r="351" spans="1:74">
      <c r="A351" s="154" t="s">
        <v>7865</v>
      </c>
      <c r="B351" s="224" t="s">
        <v>259</v>
      </c>
      <c r="C351" s="224" t="s">
        <v>7987</v>
      </c>
      <c r="D351" s="224"/>
      <c r="E351" s="222">
        <v>8</v>
      </c>
      <c r="F351" s="225">
        <v>23</v>
      </c>
      <c r="G351" s="223"/>
      <c r="I351" s="253">
        <v>29</v>
      </c>
      <c r="S351" s="218">
        <v>1692.821334</v>
      </c>
      <c r="T351" s="180"/>
      <c r="Y351" s="218">
        <v>669.69190490000005</v>
      </c>
      <c r="Z351" s="180"/>
      <c r="AA351" s="218">
        <v>64796.214650000002</v>
      </c>
      <c r="AB351" s="180"/>
      <c r="AC351" s="252">
        <v>33.679388410000001</v>
      </c>
      <c r="AD351" s="180"/>
      <c r="AG351" s="218">
        <v>5.1977401130000001</v>
      </c>
      <c r="AH351" s="180"/>
      <c r="AM351" s="218">
        <v>89</v>
      </c>
      <c r="BS351" s="218">
        <v>50.262828800000001</v>
      </c>
      <c r="BT351" s="180"/>
      <c r="BU351" s="218">
        <v>19.884325</v>
      </c>
      <c r="BV351" s="180"/>
    </row>
    <row r="352" spans="1:74">
      <c r="A352" s="154" t="s">
        <v>7865</v>
      </c>
      <c r="B352" s="224" t="s">
        <v>259</v>
      </c>
      <c r="C352" s="224" t="s">
        <v>7988</v>
      </c>
      <c r="D352" s="224"/>
      <c r="E352" s="222">
        <v>11</v>
      </c>
      <c r="F352" s="225">
        <v>45</v>
      </c>
      <c r="G352" s="223"/>
      <c r="I352" s="253">
        <v>42</v>
      </c>
      <c r="S352" s="218">
        <v>1895.367571</v>
      </c>
      <c r="T352" s="180"/>
      <c r="Y352" s="218">
        <v>771.37939310000002</v>
      </c>
      <c r="Z352" s="180"/>
      <c r="AA352" s="218">
        <v>76831.441009999995</v>
      </c>
      <c r="AB352" s="180"/>
      <c r="AC352" s="252">
        <v>38.047518709999999</v>
      </c>
      <c r="AD352" s="180"/>
      <c r="AG352" s="218">
        <v>4.952076677</v>
      </c>
      <c r="AH352" s="180"/>
      <c r="AM352" s="218">
        <v>92</v>
      </c>
      <c r="BS352" s="218">
        <v>49.815799699999999</v>
      </c>
      <c r="BT352" s="180"/>
      <c r="BU352" s="218">
        <v>20.2741051</v>
      </c>
      <c r="BV352" s="180"/>
    </row>
    <row r="353" spans="1:74">
      <c r="A353" s="154" t="s">
        <v>7865</v>
      </c>
      <c r="B353" s="224" t="s">
        <v>259</v>
      </c>
      <c r="C353" s="224" t="s">
        <v>7989</v>
      </c>
      <c r="D353" s="224"/>
      <c r="E353" s="222">
        <v>14</v>
      </c>
      <c r="F353" s="225">
        <v>32</v>
      </c>
      <c r="G353" s="223"/>
      <c r="I353" s="253">
        <v>32</v>
      </c>
      <c r="S353" s="218">
        <v>2252.2309829999999</v>
      </c>
      <c r="T353" s="180"/>
      <c r="Y353" s="218">
        <v>859.85527209999998</v>
      </c>
      <c r="Z353" s="180"/>
      <c r="AA353" s="218">
        <v>86161.95968</v>
      </c>
      <c r="AB353" s="180"/>
      <c r="AC353" s="252">
        <v>44.3606129</v>
      </c>
      <c r="AD353" s="180"/>
      <c r="AG353" s="218">
        <v>5.1485148509999998</v>
      </c>
      <c r="AH353" s="180"/>
      <c r="AM353" s="218">
        <v>89</v>
      </c>
      <c r="BS353" s="218">
        <v>50.770961800000002</v>
      </c>
      <c r="BT353" s="180"/>
      <c r="BU353" s="218">
        <v>19.383304599999999</v>
      </c>
      <c r="BV353" s="180"/>
    </row>
    <row r="354" spans="1:74">
      <c r="A354" s="154" t="s">
        <v>7866</v>
      </c>
      <c r="B354" s="224" t="s">
        <v>257</v>
      </c>
      <c r="C354" s="224" t="s">
        <v>405</v>
      </c>
      <c r="D354" s="224"/>
      <c r="E354" s="223">
        <v>1</v>
      </c>
      <c r="F354" s="225">
        <v>19</v>
      </c>
      <c r="G354" s="223"/>
      <c r="I354" s="253">
        <v>39</v>
      </c>
      <c r="S354" s="218">
        <v>1660.666199</v>
      </c>
      <c r="T354" s="180"/>
      <c r="Y354" s="218">
        <v>561.09785339999996</v>
      </c>
      <c r="Z354" s="180"/>
      <c r="AA354" s="218">
        <v>62922.345529999999</v>
      </c>
      <c r="AB354" s="180"/>
      <c r="AC354" s="252">
        <v>32.189601240000002</v>
      </c>
      <c r="AD354" s="180"/>
      <c r="AG354" s="218">
        <v>5.1157662620000002</v>
      </c>
      <c r="AH354" s="180"/>
      <c r="AM354" s="218">
        <v>94</v>
      </c>
      <c r="BS354" s="218">
        <v>51.590145100000001</v>
      </c>
      <c r="BT354" s="180"/>
      <c r="BU354" s="218">
        <v>17.431028399999999</v>
      </c>
      <c r="BV354" s="180"/>
    </row>
    <row r="355" spans="1:74">
      <c r="A355" s="154" t="s">
        <v>7866</v>
      </c>
      <c r="B355" s="224" t="s">
        <v>257</v>
      </c>
      <c r="C355" s="224" t="s">
        <v>7987</v>
      </c>
      <c r="D355" s="224"/>
      <c r="E355" s="223">
        <v>8</v>
      </c>
      <c r="F355" s="225">
        <v>50</v>
      </c>
      <c r="G355" s="223"/>
      <c r="I355" s="253">
        <v>35</v>
      </c>
      <c r="S355" s="218">
        <v>1651.3102530000001</v>
      </c>
      <c r="T355" s="180"/>
      <c r="Y355" s="218">
        <v>559.418813</v>
      </c>
      <c r="Z355" s="180"/>
      <c r="AA355" s="218">
        <v>65627.956040000005</v>
      </c>
      <c r="AB355" s="180"/>
      <c r="AC355" s="252">
        <v>31.819615049999999</v>
      </c>
      <c r="AD355" s="180"/>
      <c r="AG355" s="218">
        <v>4.848484848</v>
      </c>
      <c r="AH355" s="180"/>
      <c r="AM355" s="218">
        <v>92</v>
      </c>
      <c r="BS355" s="218">
        <v>51.895984599999998</v>
      </c>
      <c r="BT355" s="180"/>
      <c r="BU355" s="218">
        <v>17.580942199999999</v>
      </c>
      <c r="BV355" s="180"/>
    </row>
    <row r="356" spans="1:74">
      <c r="A356" s="154" t="s">
        <v>7866</v>
      </c>
      <c r="B356" s="224" t="s">
        <v>257</v>
      </c>
      <c r="C356" s="224" t="s">
        <v>7988</v>
      </c>
      <c r="D356" s="224"/>
      <c r="E356" s="222">
        <v>9</v>
      </c>
      <c r="F356" s="225">
        <v>1</v>
      </c>
      <c r="G356" s="223"/>
      <c r="I356" s="253">
        <v>38</v>
      </c>
      <c r="S356" s="218">
        <v>1487.6144300000001</v>
      </c>
      <c r="T356" s="180"/>
      <c r="Y356" s="218">
        <v>502.00053120000001</v>
      </c>
      <c r="Z356" s="180"/>
      <c r="AA356" s="218">
        <v>54128.500209999998</v>
      </c>
      <c r="AB356" s="180"/>
      <c r="AC356" s="252">
        <v>28.725010910000002</v>
      </c>
      <c r="AD356" s="180"/>
      <c r="AG356" s="218">
        <v>5.3068181819999998</v>
      </c>
      <c r="AH356" s="180"/>
      <c r="AM356" s="218">
        <v>92</v>
      </c>
      <c r="BS356" s="218">
        <v>51.788124099999997</v>
      </c>
      <c r="BT356" s="180"/>
      <c r="BU356" s="218">
        <v>17.476078000000001</v>
      </c>
      <c r="BV356" s="180"/>
    </row>
    <row r="357" spans="1:74">
      <c r="A357" s="154" t="s">
        <v>7866</v>
      </c>
      <c r="B357" s="224" t="s">
        <v>257</v>
      </c>
      <c r="C357" s="224" t="s">
        <v>7989</v>
      </c>
      <c r="D357" s="224"/>
      <c r="E357" s="222">
        <v>16</v>
      </c>
      <c r="F357" s="225">
        <v>45</v>
      </c>
      <c r="G357" s="223"/>
      <c r="I357" s="253">
        <v>39</v>
      </c>
      <c r="S357" s="218">
        <v>1916.3041679999999</v>
      </c>
      <c r="T357" s="180"/>
      <c r="Y357" s="218">
        <v>587.04482059999998</v>
      </c>
      <c r="Z357" s="180"/>
      <c r="AA357" s="218">
        <v>71759.985860000001</v>
      </c>
      <c r="AB357" s="180"/>
      <c r="AC357" s="252">
        <v>36.345966869999998</v>
      </c>
      <c r="AD357" s="180"/>
      <c r="AG357" s="218">
        <v>5.0649350650000002</v>
      </c>
      <c r="AH357" s="180"/>
      <c r="AM357" s="218">
        <v>92</v>
      </c>
      <c r="BS357" s="218">
        <v>52.723983799999999</v>
      </c>
      <c r="BT357" s="180"/>
      <c r="BU357" s="218">
        <v>16.151580800000001</v>
      </c>
      <c r="BV357" s="180"/>
    </row>
    <row r="358" spans="1:74">
      <c r="A358" s="154" t="s">
        <v>7866</v>
      </c>
      <c r="B358" s="224" t="s">
        <v>259</v>
      </c>
      <c r="C358" s="224" t="s">
        <v>405</v>
      </c>
      <c r="D358" s="224"/>
      <c r="E358" s="222">
        <v>1</v>
      </c>
      <c r="F358" s="225">
        <v>57</v>
      </c>
      <c r="G358" s="223"/>
      <c r="I358" s="253">
        <v>41</v>
      </c>
      <c r="S358" s="218">
        <v>2018.382012</v>
      </c>
      <c r="T358" s="180"/>
      <c r="Y358" s="218">
        <v>669.78322900000001</v>
      </c>
      <c r="Z358" s="180"/>
      <c r="AA358" s="218">
        <v>78592.902740000005</v>
      </c>
      <c r="AB358" s="180"/>
      <c r="AC358" s="252">
        <v>38.957688859999998</v>
      </c>
      <c r="AD358" s="180"/>
      <c r="AG358" s="218">
        <v>4.9568965519999999</v>
      </c>
      <c r="AH358" s="180"/>
      <c r="AM358" s="218">
        <v>92</v>
      </c>
      <c r="BS358" s="218">
        <v>51.809593200000002</v>
      </c>
      <c r="BT358" s="180"/>
      <c r="BU358" s="218">
        <v>17.192581199999999</v>
      </c>
      <c r="BV358" s="180"/>
    </row>
    <row r="359" spans="1:74">
      <c r="A359" s="154" t="s">
        <v>7866</v>
      </c>
      <c r="B359" s="224" t="s">
        <v>259</v>
      </c>
      <c r="C359" s="224" t="s">
        <v>7987</v>
      </c>
      <c r="D359" s="224"/>
      <c r="E359" s="222">
        <v>8</v>
      </c>
      <c r="F359" s="225">
        <v>9</v>
      </c>
      <c r="G359" s="223"/>
      <c r="I359" s="253">
        <v>34</v>
      </c>
      <c r="S359" s="218">
        <v>2287.304259</v>
      </c>
      <c r="T359" s="180"/>
      <c r="Y359" s="218">
        <v>870.21776009999996</v>
      </c>
      <c r="Z359" s="180"/>
      <c r="AA359" s="218">
        <v>89409.119439999995</v>
      </c>
      <c r="AB359" s="180"/>
      <c r="AC359" s="252">
        <v>45.586886560000003</v>
      </c>
      <c r="AD359" s="180"/>
      <c r="AG359" s="218">
        <v>5.0986842110000001</v>
      </c>
      <c r="AH359" s="180"/>
      <c r="AM359" s="218">
        <v>92</v>
      </c>
      <c r="BS359" s="218">
        <v>50.174610100000002</v>
      </c>
      <c r="BT359" s="180"/>
      <c r="BU359" s="218">
        <v>19.089212400000001</v>
      </c>
      <c r="BV359" s="180"/>
    </row>
    <row r="360" spans="1:74">
      <c r="A360" s="154" t="s">
        <v>7866</v>
      </c>
      <c r="B360" s="224" t="s">
        <v>259</v>
      </c>
      <c r="C360" s="224" t="s">
        <v>7988</v>
      </c>
      <c r="D360" s="224"/>
      <c r="E360" s="223">
        <v>10</v>
      </c>
      <c r="F360" s="225">
        <v>35</v>
      </c>
      <c r="G360" s="223"/>
      <c r="I360" s="253">
        <v>39</v>
      </c>
      <c r="S360" s="218">
        <v>1825.934105</v>
      </c>
      <c r="T360" s="180"/>
      <c r="Y360" s="218">
        <v>646.11560359999999</v>
      </c>
      <c r="Z360" s="180"/>
      <c r="AA360" s="218">
        <v>70189.881229999999</v>
      </c>
      <c r="AB360" s="180"/>
      <c r="AC360" s="252">
        <v>35.823688019999999</v>
      </c>
      <c r="AD360" s="180"/>
      <c r="AG360" s="218">
        <v>5.1038251370000003</v>
      </c>
      <c r="AH360" s="180"/>
      <c r="AM360" s="218">
        <v>92</v>
      </c>
      <c r="BS360" s="218">
        <v>50.970020300000002</v>
      </c>
      <c r="BT360" s="180"/>
      <c r="BU360" s="218">
        <v>18.035987899999999</v>
      </c>
      <c r="BV360" s="180"/>
    </row>
    <row r="361" spans="1:74">
      <c r="A361" s="154" t="s">
        <v>7866</v>
      </c>
      <c r="B361" s="224" t="s">
        <v>259</v>
      </c>
      <c r="C361" s="224" t="s">
        <v>7989</v>
      </c>
      <c r="D361" s="224"/>
      <c r="E361" s="223">
        <v>15</v>
      </c>
      <c r="F361" s="225">
        <v>6</v>
      </c>
      <c r="G361" s="223"/>
      <c r="I361" s="253">
        <v>35</v>
      </c>
      <c r="S361" s="218" t="s">
        <v>7956</v>
      </c>
      <c r="T361" s="180"/>
      <c r="Y361" s="218" t="s">
        <v>7956</v>
      </c>
      <c r="Z361" s="180"/>
      <c r="AA361" s="218" t="s">
        <v>7956</v>
      </c>
      <c r="AB361" s="180"/>
      <c r="AC361" s="252" t="s">
        <v>7956</v>
      </c>
      <c r="AD361" s="180"/>
      <c r="AG361" s="218" t="s">
        <v>7956</v>
      </c>
      <c r="AH361" s="180"/>
      <c r="AM361" s="218">
        <v>92</v>
      </c>
      <c r="BS361" s="218">
        <v>48.0731544</v>
      </c>
      <c r="BT361" s="180"/>
      <c r="BU361" s="218">
        <v>21.336305599999999</v>
      </c>
      <c r="BV361" s="180"/>
    </row>
    <row r="362" spans="1:74">
      <c r="A362" s="154" t="s">
        <v>7753</v>
      </c>
      <c r="B362" s="224" t="s">
        <v>257</v>
      </c>
      <c r="C362" s="224" t="s">
        <v>405</v>
      </c>
      <c r="D362" s="224"/>
      <c r="E362" s="222">
        <v>4</v>
      </c>
      <c r="F362" s="225">
        <v>32</v>
      </c>
      <c r="G362" s="223"/>
      <c r="I362" s="253">
        <v>33</v>
      </c>
      <c r="S362" s="218">
        <v>1627.171165</v>
      </c>
      <c r="T362" s="180"/>
      <c r="Y362" s="218">
        <v>649.88172950000001</v>
      </c>
      <c r="Z362" s="180"/>
      <c r="AA362" s="218">
        <v>74710.464380000005</v>
      </c>
      <c r="AB362" s="180"/>
      <c r="AC362" s="252">
        <v>33.094179089999997</v>
      </c>
      <c r="AD362" s="180"/>
      <c r="AG362" s="218">
        <v>4.4296577949999998</v>
      </c>
      <c r="AH362" s="180"/>
      <c r="AM362" s="218">
        <v>92</v>
      </c>
      <c r="BS362" s="218">
        <v>49.167896300000002</v>
      </c>
      <c r="BT362" s="180"/>
      <c r="BU362" s="218">
        <v>19.637342499999999</v>
      </c>
      <c r="BV362" s="180"/>
    </row>
    <row r="363" spans="1:74">
      <c r="A363" s="154" t="s">
        <v>7753</v>
      </c>
      <c r="B363" s="224" t="s">
        <v>257</v>
      </c>
      <c r="C363" s="224" t="s">
        <v>7987</v>
      </c>
      <c r="D363" s="224"/>
      <c r="E363" s="222">
        <v>8</v>
      </c>
      <c r="F363" s="225">
        <v>61</v>
      </c>
      <c r="G363" s="223"/>
      <c r="I363" s="253">
        <v>30</v>
      </c>
      <c r="S363" s="218">
        <v>1525.106096</v>
      </c>
      <c r="T363" s="180"/>
      <c r="Y363" s="218">
        <v>582.22748650000005</v>
      </c>
      <c r="Z363" s="180"/>
      <c r="AA363" s="218">
        <v>68011.613809999995</v>
      </c>
      <c r="AB363" s="180"/>
      <c r="AC363" s="252">
        <v>30.12767058</v>
      </c>
      <c r="AD363" s="180"/>
      <c r="AG363" s="218">
        <v>4.4297832230000003</v>
      </c>
      <c r="AH363" s="180"/>
      <c r="AM363" s="218">
        <v>89</v>
      </c>
      <c r="BS363" s="218">
        <v>50.621440900000003</v>
      </c>
      <c r="BT363" s="180"/>
      <c r="BU363" s="218">
        <v>19.325340300000001</v>
      </c>
      <c r="BV363" s="180"/>
    </row>
    <row r="364" spans="1:74">
      <c r="A364" s="154" t="s">
        <v>7753</v>
      </c>
      <c r="B364" s="224" t="s">
        <v>257</v>
      </c>
      <c r="C364" s="224" t="s">
        <v>7988</v>
      </c>
      <c r="D364" s="224"/>
      <c r="E364" s="222">
        <v>11</v>
      </c>
      <c r="F364" s="225">
        <v>17</v>
      </c>
      <c r="G364" s="223"/>
      <c r="I364" s="253">
        <v>36</v>
      </c>
      <c r="S364" s="218">
        <v>1305.37096</v>
      </c>
      <c r="T364" s="180"/>
      <c r="Y364" s="218">
        <v>519.88443770000003</v>
      </c>
      <c r="Z364" s="180"/>
      <c r="AA364" s="218">
        <v>57922.070240000001</v>
      </c>
      <c r="AB364" s="180"/>
      <c r="AC364" s="252">
        <v>26.54049629</v>
      </c>
      <c r="AD364" s="180"/>
      <c r="AG364" s="218">
        <v>4.5821042280000004</v>
      </c>
      <c r="AH364" s="180"/>
      <c r="AM364" s="218">
        <v>89</v>
      </c>
      <c r="BS364" s="218">
        <v>49.184120200000002</v>
      </c>
      <c r="BT364" s="180"/>
      <c r="BU364" s="218">
        <v>19.5883465</v>
      </c>
      <c r="BV364" s="180"/>
    </row>
    <row r="365" spans="1:74">
      <c r="A365" s="154" t="s">
        <v>7753</v>
      </c>
      <c r="B365" s="224" t="s">
        <v>257</v>
      </c>
      <c r="C365" s="224" t="s">
        <v>7989</v>
      </c>
      <c r="D365" s="224"/>
      <c r="E365" s="222">
        <v>16</v>
      </c>
      <c r="F365" s="225">
        <v>64</v>
      </c>
      <c r="G365" s="223"/>
      <c r="I365" s="253">
        <v>39</v>
      </c>
      <c r="S365" s="218">
        <v>1387.5585610000001</v>
      </c>
      <c r="T365" s="180"/>
      <c r="Y365" s="218">
        <v>542.96655820000001</v>
      </c>
      <c r="Z365" s="180"/>
      <c r="AA365" s="218">
        <v>59909.790979999998</v>
      </c>
      <c r="AB365" s="180"/>
      <c r="AC365" s="252">
        <v>27.977872390000002</v>
      </c>
      <c r="AD365" s="180"/>
      <c r="AG365" s="218">
        <v>4.67</v>
      </c>
      <c r="AH365" s="180"/>
      <c r="AM365" s="218">
        <v>92</v>
      </c>
      <c r="BS365" s="218">
        <v>49.594856299999996</v>
      </c>
      <c r="BT365" s="180"/>
      <c r="BU365" s="218">
        <v>19.406999599999999</v>
      </c>
      <c r="BV365" s="180"/>
    </row>
    <row r="366" spans="1:74">
      <c r="A366" s="154" t="s">
        <v>7753</v>
      </c>
      <c r="B366" s="224" t="s">
        <v>259</v>
      </c>
      <c r="C366" s="224" t="s">
        <v>405</v>
      </c>
      <c r="D366" s="224"/>
      <c r="E366" s="223">
        <v>2</v>
      </c>
      <c r="F366" s="225">
        <v>39</v>
      </c>
      <c r="G366" s="223"/>
      <c r="I366" s="253">
        <v>35</v>
      </c>
      <c r="S366" s="218">
        <v>1506.95399</v>
      </c>
      <c r="T366" s="180"/>
      <c r="Y366" s="218">
        <v>657.77375910000001</v>
      </c>
      <c r="Z366" s="180"/>
      <c r="AA366" s="218">
        <v>69683.406059999994</v>
      </c>
      <c r="AB366" s="180"/>
      <c r="AC366" s="252">
        <v>31.022971269999999</v>
      </c>
      <c r="AD366" s="180"/>
      <c r="AG366" s="218">
        <v>4.4519883609999997</v>
      </c>
      <c r="AH366" s="180"/>
      <c r="AM366" s="218">
        <v>92</v>
      </c>
      <c r="BS366" s="218">
        <v>48.5754242</v>
      </c>
      <c r="BT366" s="180"/>
      <c r="BU366" s="218">
        <v>21.202796899999999</v>
      </c>
      <c r="BV366" s="180"/>
    </row>
    <row r="367" spans="1:74">
      <c r="A367" s="154" t="s">
        <v>7753</v>
      </c>
      <c r="B367" s="224" t="s">
        <v>259</v>
      </c>
      <c r="C367" s="224" t="s">
        <v>7987</v>
      </c>
      <c r="D367" s="224"/>
      <c r="E367" s="223">
        <v>5</v>
      </c>
      <c r="F367" s="225">
        <v>21</v>
      </c>
      <c r="G367" s="223"/>
      <c r="I367" s="253">
        <v>37</v>
      </c>
      <c r="S367" s="218">
        <v>1831.2742679999999</v>
      </c>
      <c r="T367" s="180"/>
      <c r="Y367" s="218">
        <v>774.60156629999994</v>
      </c>
      <c r="Z367" s="180"/>
      <c r="AA367" s="218">
        <v>80025.920419999995</v>
      </c>
      <c r="AB367" s="180"/>
      <c r="AC367" s="252">
        <v>37.740418859999998</v>
      </c>
      <c r="AD367" s="180"/>
      <c r="AG367" s="218">
        <v>4.7160243409999998</v>
      </c>
      <c r="AH367" s="180"/>
      <c r="AM367" s="218">
        <v>92</v>
      </c>
      <c r="BS367" s="218">
        <v>48.522891999999999</v>
      </c>
      <c r="BT367" s="180"/>
      <c r="BU367" s="218">
        <v>20.524456000000001</v>
      </c>
      <c r="BV367" s="180"/>
    </row>
    <row r="368" spans="1:74">
      <c r="A368" s="154" t="s">
        <v>7753</v>
      </c>
      <c r="B368" s="224" t="s">
        <v>259</v>
      </c>
      <c r="C368" s="224" t="s">
        <v>7988</v>
      </c>
      <c r="D368" s="224"/>
      <c r="E368" s="222">
        <v>11</v>
      </c>
      <c r="F368" s="225">
        <v>36</v>
      </c>
      <c r="G368" s="223"/>
      <c r="I368" s="253">
        <v>39</v>
      </c>
      <c r="S368" s="218">
        <v>1606.6854519999999</v>
      </c>
      <c r="T368" s="180"/>
      <c r="Y368" s="218">
        <v>646.19945470000005</v>
      </c>
      <c r="Z368" s="180"/>
      <c r="AA368" s="218">
        <v>73377.407300000006</v>
      </c>
      <c r="AB368" s="180"/>
      <c r="AC368" s="252">
        <v>32.70616425</v>
      </c>
      <c r="AD368" s="180"/>
      <c r="AG368" s="218">
        <v>4.4572526420000003</v>
      </c>
      <c r="AH368" s="180"/>
      <c r="AM368" s="218">
        <v>92</v>
      </c>
      <c r="BS368" s="218">
        <v>49.124851200000002</v>
      </c>
      <c r="BT368" s="180"/>
      <c r="BU368" s="218">
        <v>19.757726699999999</v>
      </c>
      <c r="BV368" s="180"/>
    </row>
    <row r="369" spans="1:74">
      <c r="A369" s="154" t="s">
        <v>7753</v>
      </c>
      <c r="B369" s="224" t="s">
        <v>259</v>
      </c>
      <c r="C369" s="224" t="s">
        <v>7989</v>
      </c>
      <c r="D369" s="224"/>
      <c r="E369" s="222">
        <v>14</v>
      </c>
      <c r="F369" s="225">
        <v>9</v>
      </c>
      <c r="G369" s="223"/>
      <c r="I369" s="253">
        <v>36</v>
      </c>
      <c r="S369" s="218">
        <v>1389.3323889999999</v>
      </c>
      <c r="T369" s="180"/>
      <c r="Y369" s="218">
        <v>570.81233520000001</v>
      </c>
      <c r="Z369" s="180"/>
      <c r="AA369" s="218">
        <v>63873.822719999996</v>
      </c>
      <c r="AB369" s="180"/>
      <c r="AC369" s="252">
        <v>28.415583649999999</v>
      </c>
      <c r="AD369" s="180"/>
      <c r="AG369" s="218">
        <v>4.4487056569999996</v>
      </c>
      <c r="AH369" s="180"/>
      <c r="AM369" s="218">
        <v>89</v>
      </c>
      <c r="BS369" s="218">
        <v>48.8933258</v>
      </c>
      <c r="BT369" s="180"/>
      <c r="BU369" s="218">
        <v>20.088003199999999</v>
      </c>
      <c r="BV369" s="180"/>
    </row>
    <row r="370" spans="1:74">
      <c r="A370" s="154" t="s">
        <v>7754</v>
      </c>
      <c r="B370" s="224" t="s">
        <v>257</v>
      </c>
      <c r="C370" s="224" t="s">
        <v>405</v>
      </c>
      <c r="D370" s="224"/>
      <c r="E370" s="222">
        <v>1</v>
      </c>
      <c r="F370" s="225">
        <v>2</v>
      </c>
      <c r="G370" s="223"/>
      <c r="I370" s="253">
        <v>23</v>
      </c>
      <c r="S370" s="218">
        <v>1435.553635</v>
      </c>
      <c r="T370" s="180"/>
      <c r="Y370" s="218">
        <v>587.98496620000003</v>
      </c>
      <c r="Z370" s="180"/>
      <c r="AA370" s="218">
        <v>55563.585659999997</v>
      </c>
      <c r="AB370" s="180"/>
      <c r="AC370" s="252">
        <v>29.122552750000001</v>
      </c>
      <c r="AD370" s="180"/>
      <c r="AG370" s="218">
        <v>5.2413019079999996</v>
      </c>
      <c r="AH370" s="180"/>
      <c r="AM370" s="218">
        <v>87</v>
      </c>
      <c r="BS370" s="218">
        <v>49.293537100000002</v>
      </c>
      <c r="BT370" s="180"/>
      <c r="BU370" s="218">
        <v>20.1900215</v>
      </c>
      <c r="BV370" s="180"/>
    </row>
    <row r="371" spans="1:74">
      <c r="A371" s="154" t="s">
        <v>7754</v>
      </c>
      <c r="B371" s="224" t="s">
        <v>257</v>
      </c>
      <c r="C371" s="224" t="s">
        <v>7987</v>
      </c>
      <c r="D371" s="224"/>
      <c r="E371" s="222">
        <v>5</v>
      </c>
      <c r="F371" s="225">
        <v>47</v>
      </c>
      <c r="G371" s="223"/>
      <c r="I371" s="253">
        <v>19</v>
      </c>
      <c r="S371" s="218">
        <v>1310.326476</v>
      </c>
      <c r="T371" s="180"/>
      <c r="Y371" s="218">
        <v>494.1107816</v>
      </c>
      <c r="Z371" s="180"/>
      <c r="AA371" s="218">
        <v>50152.447590000003</v>
      </c>
      <c r="AB371" s="180"/>
      <c r="AC371" s="252">
        <v>25.91770781</v>
      </c>
      <c r="AD371" s="180"/>
      <c r="AG371" s="218">
        <v>5.1677852350000002</v>
      </c>
      <c r="AH371" s="180"/>
      <c r="AM371" s="218">
        <v>83</v>
      </c>
      <c r="BS371" s="218">
        <v>50.557189899999997</v>
      </c>
      <c r="BT371" s="180"/>
      <c r="BU371" s="218">
        <v>19.0646019</v>
      </c>
      <c r="BV371" s="180"/>
    </row>
    <row r="372" spans="1:74">
      <c r="A372" s="154" t="s">
        <v>7754</v>
      </c>
      <c r="B372" s="224" t="s">
        <v>257</v>
      </c>
      <c r="C372" s="224" t="s">
        <v>7988</v>
      </c>
      <c r="D372" s="224"/>
      <c r="E372" s="223">
        <v>11</v>
      </c>
      <c r="F372" s="225">
        <v>6</v>
      </c>
      <c r="G372" s="223"/>
      <c r="I372" s="253">
        <v>31</v>
      </c>
      <c r="S372" s="218">
        <v>908.50533659999996</v>
      </c>
      <c r="T372" s="180"/>
      <c r="Y372" s="218">
        <v>368.62222830000002</v>
      </c>
      <c r="Z372" s="180"/>
      <c r="AA372" s="218">
        <v>33359.995620000002</v>
      </c>
      <c r="AB372" s="180"/>
      <c r="AC372" s="252">
        <v>18.1892338</v>
      </c>
      <c r="AD372" s="180"/>
      <c r="AG372" s="218">
        <v>5.4524089309999999</v>
      </c>
      <c r="AH372" s="180"/>
      <c r="AM372" s="218">
        <v>87</v>
      </c>
      <c r="BS372" s="218">
        <v>49.947422000000003</v>
      </c>
      <c r="BT372" s="180"/>
      <c r="BU372" s="218">
        <v>20.265956899999999</v>
      </c>
      <c r="BV372" s="180"/>
    </row>
    <row r="373" spans="1:74">
      <c r="A373" s="154" t="s">
        <v>7754</v>
      </c>
      <c r="B373" s="224" t="s">
        <v>257</v>
      </c>
      <c r="C373" s="224" t="s">
        <v>7989</v>
      </c>
      <c r="D373" s="224"/>
      <c r="E373" s="223">
        <v>15</v>
      </c>
      <c r="F373" s="225">
        <v>35</v>
      </c>
      <c r="G373" s="223"/>
      <c r="I373" s="253">
        <v>26</v>
      </c>
      <c r="S373" s="218">
        <v>1184.22498</v>
      </c>
      <c r="T373" s="180"/>
      <c r="Y373" s="218">
        <v>481.7186643</v>
      </c>
      <c r="Z373" s="180"/>
      <c r="AA373" s="218">
        <v>42972.417350000003</v>
      </c>
      <c r="AB373" s="180"/>
      <c r="AC373" s="252">
        <v>24.072748690000001</v>
      </c>
      <c r="AD373" s="180"/>
      <c r="AG373" s="218">
        <v>5.6019070319999997</v>
      </c>
      <c r="AH373" s="180"/>
      <c r="AM373" s="218">
        <v>83</v>
      </c>
      <c r="BS373" s="218">
        <v>49.193592099999996</v>
      </c>
      <c r="BT373" s="180"/>
      <c r="BU373" s="218">
        <v>20.010953900000001</v>
      </c>
      <c r="BV373" s="180"/>
    </row>
    <row r="374" spans="1:74">
      <c r="A374" s="154" t="s">
        <v>7754</v>
      </c>
      <c r="B374" s="224" t="s">
        <v>259</v>
      </c>
      <c r="C374" s="224" t="s">
        <v>405</v>
      </c>
      <c r="D374" s="224"/>
      <c r="E374" s="222">
        <v>1</v>
      </c>
      <c r="F374" s="225">
        <v>59</v>
      </c>
      <c r="G374" s="223"/>
      <c r="I374" s="253">
        <v>26</v>
      </c>
      <c r="S374" s="218">
        <v>1093.831156</v>
      </c>
      <c r="T374" s="180"/>
      <c r="Y374" s="218">
        <v>445.91543689999997</v>
      </c>
      <c r="Z374" s="180"/>
      <c r="AA374" s="218">
        <v>42152.684580000001</v>
      </c>
      <c r="AB374" s="180"/>
      <c r="AC374" s="252">
        <v>21.919395980000001</v>
      </c>
      <c r="AD374" s="180"/>
      <c r="AG374" s="218">
        <v>5.2</v>
      </c>
      <c r="AH374" s="180"/>
      <c r="AM374" s="218">
        <v>83</v>
      </c>
      <c r="BS374" s="218">
        <v>49.902431499999999</v>
      </c>
      <c r="BT374" s="180"/>
      <c r="BU374" s="218">
        <v>20.343418100000001</v>
      </c>
      <c r="BV374" s="180"/>
    </row>
    <row r="375" spans="1:74">
      <c r="A375" s="154" t="s">
        <v>7754</v>
      </c>
      <c r="B375" s="224" t="s">
        <v>259</v>
      </c>
      <c r="C375" s="224" t="s">
        <v>7987</v>
      </c>
      <c r="D375" s="224"/>
      <c r="E375" s="222">
        <v>5</v>
      </c>
      <c r="F375" s="225">
        <v>24</v>
      </c>
      <c r="G375" s="223"/>
      <c r="I375" s="253">
        <v>24</v>
      </c>
      <c r="S375" s="218">
        <v>1382.711982</v>
      </c>
      <c r="T375" s="180"/>
      <c r="Y375" s="218">
        <v>556.37679419999995</v>
      </c>
      <c r="Z375" s="180"/>
      <c r="AA375" s="218">
        <v>50409.877970000001</v>
      </c>
      <c r="AB375" s="180"/>
      <c r="AC375" s="252">
        <v>27.822488069999999</v>
      </c>
      <c r="AD375" s="180"/>
      <c r="AG375" s="218">
        <v>5.5192532090000004</v>
      </c>
      <c r="AH375" s="180"/>
      <c r="AM375" s="218">
        <v>83</v>
      </c>
      <c r="BS375" s="218">
        <v>49.697639500000001</v>
      </c>
      <c r="BT375" s="180"/>
      <c r="BU375" s="218">
        <v>19.997377400000001</v>
      </c>
      <c r="BV375" s="180"/>
    </row>
    <row r="376" spans="1:74">
      <c r="A376" s="154" t="s">
        <v>7754</v>
      </c>
      <c r="B376" s="224" t="s">
        <v>259</v>
      </c>
      <c r="C376" s="224" t="s">
        <v>7988</v>
      </c>
      <c r="D376" s="224"/>
      <c r="E376" s="222">
        <v>9</v>
      </c>
      <c r="F376" s="225">
        <v>53</v>
      </c>
      <c r="G376" s="223"/>
      <c r="I376" s="253">
        <v>27</v>
      </c>
      <c r="S376" s="218">
        <v>1859.858575</v>
      </c>
      <c r="T376" s="180"/>
      <c r="Y376" s="218">
        <v>753.60042109999995</v>
      </c>
      <c r="Z376" s="180"/>
      <c r="AA376" s="218">
        <v>71515.822339999999</v>
      </c>
      <c r="AB376" s="180"/>
      <c r="AC376" s="252">
        <v>37.305520080000001</v>
      </c>
      <c r="AD376" s="180"/>
      <c r="AG376" s="218">
        <v>5.216400911</v>
      </c>
      <c r="AH376" s="180"/>
      <c r="AM376" s="218">
        <v>87</v>
      </c>
      <c r="BS376" s="218">
        <v>49.854782100000001</v>
      </c>
      <c r="BT376" s="180"/>
      <c r="BU376" s="218">
        <v>20.200775100000001</v>
      </c>
      <c r="BV376" s="180"/>
    </row>
    <row r="377" spans="1:74">
      <c r="A377" s="154" t="s">
        <v>7754</v>
      </c>
      <c r="B377" s="224" t="s">
        <v>259</v>
      </c>
      <c r="C377" s="224" t="s">
        <v>7989</v>
      </c>
      <c r="D377" s="224"/>
      <c r="E377" s="222">
        <v>13</v>
      </c>
      <c r="F377" s="225">
        <v>11</v>
      </c>
      <c r="G377" s="223"/>
      <c r="I377" s="253">
        <v>23</v>
      </c>
      <c r="S377" s="218">
        <v>1400.167254</v>
      </c>
      <c r="T377" s="180"/>
      <c r="Y377" s="218">
        <v>607.66363439999998</v>
      </c>
      <c r="Z377" s="180"/>
      <c r="AA377" s="218">
        <v>53761.911829999997</v>
      </c>
      <c r="AB377" s="180"/>
      <c r="AC377" s="252">
        <v>28.81638474</v>
      </c>
      <c r="AD377" s="180"/>
      <c r="AG377" s="218">
        <v>5.36</v>
      </c>
      <c r="AH377" s="180"/>
      <c r="AM377" s="218">
        <v>81</v>
      </c>
      <c r="BS377" s="218">
        <v>48.589275399999998</v>
      </c>
      <c r="BT377" s="180"/>
      <c r="BU377" s="218">
        <v>21.0874348</v>
      </c>
      <c r="BV377" s="180"/>
    </row>
    <row r="378" spans="1:74">
      <c r="A378" s="154" t="s">
        <v>7867</v>
      </c>
      <c r="B378" s="224" t="s">
        <v>257</v>
      </c>
      <c r="C378" s="224" t="s">
        <v>405</v>
      </c>
      <c r="D378" s="224"/>
      <c r="E378" s="223">
        <v>3</v>
      </c>
      <c r="F378" s="225">
        <v>1</v>
      </c>
      <c r="G378" s="223"/>
      <c r="I378" s="253">
        <v>35</v>
      </c>
      <c r="S378" s="218">
        <v>1350.36167</v>
      </c>
      <c r="T378" s="180"/>
      <c r="Y378" s="218">
        <v>523.435115</v>
      </c>
      <c r="Z378" s="180"/>
      <c r="AA378" s="218">
        <v>48346.671219999997</v>
      </c>
      <c r="AB378" s="180"/>
      <c r="AC378" s="252">
        <v>27.668629580000001</v>
      </c>
      <c r="AD378" s="180"/>
      <c r="AG378" s="218">
        <v>5.7229647630000002</v>
      </c>
      <c r="AH378" s="180"/>
      <c r="AM378" s="218">
        <v>89</v>
      </c>
      <c r="BS378" s="218">
        <v>48.804790500000003</v>
      </c>
      <c r="BT378" s="180"/>
      <c r="BU378" s="218">
        <v>18.917999300000002</v>
      </c>
      <c r="BV378" s="180"/>
    </row>
    <row r="379" spans="1:74">
      <c r="A379" s="154" t="s">
        <v>7867</v>
      </c>
      <c r="B379" s="224" t="s">
        <v>257</v>
      </c>
      <c r="C379" s="224" t="s">
        <v>7987</v>
      </c>
      <c r="D379" s="224"/>
      <c r="E379" s="223">
        <v>8</v>
      </c>
      <c r="F379" s="225">
        <v>57</v>
      </c>
      <c r="G379" s="223"/>
      <c r="I379" s="253">
        <v>31</v>
      </c>
      <c r="S379" s="218">
        <v>1409.7534129999999</v>
      </c>
      <c r="T379" s="180"/>
      <c r="Y379" s="218">
        <v>579.04198499999995</v>
      </c>
      <c r="Z379" s="180"/>
      <c r="AA379" s="218">
        <v>51935.736680000002</v>
      </c>
      <c r="AB379" s="180"/>
      <c r="AC379" s="252">
        <v>28.73040752</v>
      </c>
      <c r="AD379" s="180"/>
      <c r="AG379" s="218">
        <v>5.5319148939999998</v>
      </c>
      <c r="AH379" s="180"/>
      <c r="AM379" s="218">
        <v>92</v>
      </c>
      <c r="BS379" s="218">
        <v>49.068340300000003</v>
      </c>
      <c r="BT379" s="180"/>
      <c r="BU379" s="218">
        <v>20.154325499999999</v>
      </c>
      <c r="BV379" s="180"/>
    </row>
    <row r="380" spans="1:74">
      <c r="A380" s="154" t="s">
        <v>7867</v>
      </c>
      <c r="B380" s="224" t="s">
        <v>257</v>
      </c>
      <c r="C380" s="224" t="s">
        <v>7988</v>
      </c>
      <c r="D380" s="224"/>
      <c r="E380" s="222">
        <v>12</v>
      </c>
      <c r="F380" s="225">
        <v>13</v>
      </c>
      <c r="G380" s="223"/>
      <c r="I380" s="253">
        <v>37</v>
      </c>
      <c r="S380" s="218">
        <v>1241.9171819999999</v>
      </c>
      <c r="T380" s="180"/>
      <c r="Y380" s="218">
        <v>507.78917039999999</v>
      </c>
      <c r="Z380" s="180"/>
      <c r="AA380" s="218">
        <v>45598.2906</v>
      </c>
      <c r="AB380" s="180"/>
      <c r="AC380" s="252">
        <v>25.47977208</v>
      </c>
      <c r="AD380" s="180"/>
      <c r="AG380" s="218">
        <v>5.5878787880000003</v>
      </c>
      <c r="AH380" s="180"/>
      <c r="AM380" s="218">
        <v>89</v>
      </c>
      <c r="BS380" s="218">
        <v>49.756828300000002</v>
      </c>
      <c r="BT380" s="180"/>
      <c r="BU380" s="218">
        <v>19.9291096</v>
      </c>
      <c r="BV380" s="180"/>
    </row>
    <row r="381" spans="1:74">
      <c r="A381" s="154" t="s">
        <v>7867</v>
      </c>
      <c r="B381" s="224" t="s">
        <v>257</v>
      </c>
      <c r="C381" s="224" t="s">
        <v>7989</v>
      </c>
      <c r="D381" s="224"/>
      <c r="E381" s="222">
        <v>16</v>
      </c>
      <c r="F381" s="225">
        <v>38</v>
      </c>
      <c r="G381" s="223"/>
      <c r="I381" s="253">
        <v>37</v>
      </c>
      <c r="S381" s="218">
        <v>1406.4510339999999</v>
      </c>
      <c r="T381" s="180"/>
      <c r="Y381" s="218">
        <v>572.09179289999997</v>
      </c>
      <c r="Z381" s="180"/>
      <c r="AA381" s="218">
        <v>56124.764889999999</v>
      </c>
      <c r="AB381" s="180"/>
      <c r="AC381" s="252">
        <v>29.14908063</v>
      </c>
      <c r="AD381" s="180"/>
      <c r="AG381" s="218">
        <v>5.1936218680000001</v>
      </c>
      <c r="AH381" s="180"/>
      <c r="AM381" s="218">
        <v>92</v>
      </c>
      <c r="BS381" s="218">
        <v>48.250270800000003</v>
      </c>
      <c r="BT381" s="180"/>
      <c r="BU381" s="218">
        <v>19.626409500000001</v>
      </c>
      <c r="BV381" s="180"/>
    </row>
    <row r="382" spans="1:74">
      <c r="A382" s="154" t="s">
        <v>7867</v>
      </c>
      <c r="B382" s="224" t="s">
        <v>259</v>
      </c>
      <c r="C382" s="224" t="s">
        <v>405</v>
      </c>
      <c r="D382" s="224"/>
      <c r="E382" s="222">
        <v>4</v>
      </c>
      <c r="F382" s="225">
        <v>40</v>
      </c>
      <c r="G382" s="223"/>
      <c r="I382" s="253">
        <v>41</v>
      </c>
      <c r="S382" s="218">
        <v>1823.7220500000001</v>
      </c>
      <c r="T382" s="180"/>
      <c r="Y382" s="218">
        <v>797.48002240000005</v>
      </c>
      <c r="Z382" s="180"/>
      <c r="AA382" s="218">
        <v>70347.690950000004</v>
      </c>
      <c r="AB382" s="180"/>
      <c r="AC382" s="252">
        <v>38.492132779999999</v>
      </c>
      <c r="AD382" s="180"/>
      <c r="AG382" s="218">
        <v>5.4716981130000004</v>
      </c>
      <c r="AH382" s="180"/>
      <c r="AM382" s="218">
        <v>94</v>
      </c>
      <c r="BS382" s="218">
        <v>47.379085500000002</v>
      </c>
      <c r="BT382" s="180"/>
      <c r="BU382" s="218">
        <v>20.718000400000001</v>
      </c>
      <c r="BV382" s="180"/>
    </row>
    <row r="383" spans="1:74">
      <c r="A383" s="154" t="s">
        <v>7867</v>
      </c>
      <c r="B383" s="224" t="s">
        <v>259</v>
      </c>
      <c r="C383" s="224" t="s">
        <v>7987</v>
      </c>
      <c r="D383" s="224"/>
      <c r="E383" s="222">
        <v>6</v>
      </c>
      <c r="F383" s="225">
        <v>5</v>
      </c>
      <c r="G383" s="223"/>
      <c r="I383" s="253">
        <v>40</v>
      </c>
      <c r="S383" s="218">
        <v>1312.374941</v>
      </c>
      <c r="T383" s="180"/>
      <c r="Y383" s="218">
        <v>544.36761290000004</v>
      </c>
      <c r="Z383" s="180"/>
      <c r="AA383" s="218">
        <v>49710.060129999998</v>
      </c>
      <c r="AB383" s="180"/>
      <c r="AC383" s="252">
        <v>27.038444259999999</v>
      </c>
      <c r="AD383" s="180"/>
      <c r="AG383" s="218">
        <v>5.4392298439999998</v>
      </c>
      <c r="AH383" s="180"/>
      <c r="AM383" s="218">
        <v>92</v>
      </c>
      <c r="BS383" s="218">
        <v>48.537368800000003</v>
      </c>
      <c r="BT383" s="180"/>
      <c r="BU383" s="218">
        <v>20.133096699999999</v>
      </c>
      <c r="BV383" s="180"/>
    </row>
    <row r="384" spans="1:74">
      <c r="A384" s="154" t="s">
        <v>7867</v>
      </c>
      <c r="B384" s="224" t="s">
        <v>259</v>
      </c>
      <c r="C384" s="224" t="s">
        <v>7988</v>
      </c>
      <c r="D384" s="224"/>
      <c r="E384" s="223">
        <v>9</v>
      </c>
      <c r="F384" s="225">
        <v>64</v>
      </c>
      <c r="G384" s="223"/>
      <c r="I384" s="253">
        <v>40</v>
      </c>
      <c r="S384" s="218">
        <v>1851.930112</v>
      </c>
      <c r="T384" s="180"/>
      <c r="Y384" s="218">
        <v>785.99540560000003</v>
      </c>
      <c r="Z384" s="180"/>
      <c r="AA384" s="218">
        <v>71951.348270000002</v>
      </c>
      <c r="AB384" s="180"/>
      <c r="AC384" s="252">
        <v>38.273771789999998</v>
      </c>
      <c r="AD384" s="180"/>
      <c r="AG384" s="218">
        <v>5.319396051</v>
      </c>
      <c r="AH384" s="180"/>
      <c r="AM384" s="218">
        <v>92</v>
      </c>
      <c r="BS384" s="218">
        <v>48.386402099999998</v>
      </c>
      <c r="BT384" s="180"/>
      <c r="BU384" s="218">
        <v>20.536136599999999</v>
      </c>
      <c r="BV384" s="180"/>
    </row>
    <row r="385" spans="1:74">
      <c r="A385" s="154" t="s">
        <v>7867</v>
      </c>
      <c r="B385" s="224" t="s">
        <v>259</v>
      </c>
      <c r="C385" s="224" t="s">
        <v>7989</v>
      </c>
      <c r="D385" s="224"/>
      <c r="E385" s="223">
        <v>16</v>
      </c>
      <c r="F385" s="225">
        <v>27</v>
      </c>
      <c r="G385" s="223"/>
      <c r="I385" s="253">
        <v>33</v>
      </c>
      <c r="S385" s="218">
        <v>1595.730335</v>
      </c>
      <c r="T385" s="180"/>
      <c r="Y385" s="218">
        <v>709.75364030000003</v>
      </c>
      <c r="Z385" s="180"/>
      <c r="AA385" s="218">
        <v>62364.156130000003</v>
      </c>
      <c r="AB385" s="180"/>
      <c r="AC385" s="252">
        <v>33.77753826</v>
      </c>
      <c r="AD385" s="180"/>
      <c r="AG385" s="218">
        <v>5.4161781949999996</v>
      </c>
      <c r="AH385" s="180"/>
      <c r="AM385" s="218">
        <v>92</v>
      </c>
      <c r="BS385" s="218">
        <v>47.242351499999998</v>
      </c>
      <c r="BT385" s="180"/>
      <c r="BU385" s="218">
        <v>21.012592300000001</v>
      </c>
      <c r="BV385" s="180"/>
    </row>
    <row r="386" spans="1:74">
      <c r="A386" s="154" t="s">
        <v>7755</v>
      </c>
      <c r="B386" s="224" t="s">
        <v>257</v>
      </c>
      <c r="C386" s="224" t="s">
        <v>405</v>
      </c>
      <c r="D386" s="224"/>
      <c r="E386" s="222">
        <v>4</v>
      </c>
      <c r="F386" s="225">
        <v>23</v>
      </c>
      <c r="G386" s="223"/>
      <c r="I386" s="253">
        <v>40</v>
      </c>
      <c r="S386" s="218">
        <v>1758.6261360000001</v>
      </c>
      <c r="T386" s="180"/>
      <c r="Y386" s="218">
        <v>652.49257969999996</v>
      </c>
      <c r="Z386" s="180"/>
      <c r="AA386" s="218">
        <v>70859.375809999998</v>
      </c>
      <c r="AB386" s="180"/>
      <c r="AC386" s="252">
        <v>34.472128769999998</v>
      </c>
      <c r="AD386" s="180"/>
      <c r="AG386" s="218">
        <v>4.8648648650000004</v>
      </c>
      <c r="AH386" s="180"/>
      <c r="AM386" s="218">
        <v>94</v>
      </c>
      <c r="BS386" s="218">
        <v>51.015884399999997</v>
      </c>
      <c r="BT386" s="180"/>
      <c r="BU386" s="218">
        <v>18.9281197</v>
      </c>
      <c r="BV386" s="180"/>
    </row>
    <row r="387" spans="1:74">
      <c r="A387" s="154" t="s">
        <v>7755</v>
      </c>
      <c r="B387" s="224" t="s">
        <v>257</v>
      </c>
      <c r="C387" s="224" t="s">
        <v>7987</v>
      </c>
      <c r="D387" s="224"/>
      <c r="E387" s="222">
        <v>8</v>
      </c>
      <c r="F387" s="225">
        <v>51</v>
      </c>
      <c r="G387" s="223"/>
      <c r="I387" s="253">
        <v>32</v>
      </c>
      <c r="S387" s="218">
        <v>1516.1480670000001</v>
      </c>
      <c r="T387" s="180"/>
      <c r="Y387" s="218">
        <v>583.89114540000003</v>
      </c>
      <c r="Z387" s="180"/>
      <c r="AA387" s="218">
        <v>62699.568140000003</v>
      </c>
      <c r="AB387" s="180"/>
      <c r="AC387" s="252">
        <v>30.000715490000001</v>
      </c>
      <c r="AD387" s="180"/>
      <c r="AG387" s="218">
        <v>4.7848360660000004</v>
      </c>
      <c r="AH387" s="180"/>
      <c r="AM387" s="218">
        <v>94</v>
      </c>
      <c r="BS387" s="218">
        <v>50.537063600000003</v>
      </c>
      <c r="BT387" s="180"/>
      <c r="BU387" s="218">
        <v>19.462574</v>
      </c>
      <c r="BV387" s="180"/>
    </row>
    <row r="388" spans="1:74">
      <c r="A388" s="154" t="s">
        <v>7755</v>
      </c>
      <c r="B388" s="224" t="s">
        <v>257</v>
      </c>
      <c r="C388" s="224" t="s">
        <v>7988</v>
      </c>
      <c r="D388" s="224"/>
      <c r="E388" s="222">
        <v>11</v>
      </c>
      <c r="F388" s="225">
        <v>24</v>
      </c>
      <c r="G388" s="223"/>
      <c r="I388" s="253">
        <v>34</v>
      </c>
      <c r="S388" s="218">
        <v>1718.4814819999999</v>
      </c>
      <c r="T388" s="180"/>
      <c r="Y388" s="218">
        <v>645.4703955</v>
      </c>
      <c r="Z388" s="180"/>
      <c r="AA388" s="218">
        <v>70804.285080000001</v>
      </c>
      <c r="AB388" s="180"/>
      <c r="AC388" s="252">
        <v>33.588508189999999</v>
      </c>
      <c r="AD388" s="180"/>
      <c r="AG388" s="218">
        <v>4.7438524590000002</v>
      </c>
      <c r="AH388" s="180"/>
      <c r="AM388" s="218">
        <v>94</v>
      </c>
      <c r="BS388" s="218">
        <v>51.1627808</v>
      </c>
      <c r="BT388" s="180"/>
      <c r="BU388" s="218">
        <v>19.217001</v>
      </c>
      <c r="BV388" s="180"/>
    </row>
    <row r="389" spans="1:74">
      <c r="A389" s="154" t="s">
        <v>7755</v>
      </c>
      <c r="B389" s="224" t="s">
        <v>257</v>
      </c>
      <c r="C389" s="224" t="s">
        <v>7989</v>
      </c>
      <c r="D389" s="224"/>
      <c r="E389" s="222">
        <v>15</v>
      </c>
      <c r="F389" s="225">
        <v>37</v>
      </c>
      <c r="G389" s="223"/>
      <c r="I389" s="253">
        <v>42</v>
      </c>
      <c r="S389" s="218">
        <v>1617.432798</v>
      </c>
      <c r="T389" s="180"/>
      <c r="Y389" s="218">
        <v>599.11207820000004</v>
      </c>
      <c r="Z389" s="180"/>
      <c r="AA389" s="218">
        <v>65493.314780000001</v>
      </c>
      <c r="AB389" s="180"/>
      <c r="AC389" s="252">
        <v>31.439472500000001</v>
      </c>
      <c r="AD389" s="180"/>
      <c r="AG389" s="218">
        <v>4.800409417</v>
      </c>
      <c r="AH389" s="180"/>
      <c r="AM389" s="218">
        <v>94</v>
      </c>
      <c r="BS389" s="218">
        <v>51.445926700000001</v>
      </c>
      <c r="BT389" s="180"/>
      <c r="BU389" s="218">
        <v>19.056047400000001</v>
      </c>
      <c r="BV389" s="180"/>
    </row>
    <row r="390" spans="1:74">
      <c r="A390" s="154" t="s">
        <v>7755</v>
      </c>
      <c r="B390" s="224" t="s">
        <v>259</v>
      </c>
      <c r="C390" s="224" t="s">
        <v>405</v>
      </c>
      <c r="D390" s="224"/>
      <c r="E390" s="222">
        <v>3</v>
      </c>
      <c r="F390" s="225">
        <v>61</v>
      </c>
      <c r="G390" s="223"/>
      <c r="I390" s="253">
        <v>35</v>
      </c>
      <c r="S390" s="218">
        <v>1740.9715880000001</v>
      </c>
      <c r="T390" s="180"/>
      <c r="Y390" s="218">
        <v>683.56323429999998</v>
      </c>
      <c r="Z390" s="180"/>
      <c r="AA390" s="218">
        <v>71667.717329999999</v>
      </c>
      <c r="AB390" s="180"/>
      <c r="AC390" s="252">
        <v>34.64188</v>
      </c>
      <c r="AD390" s="180"/>
      <c r="AG390" s="218">
        <v>4.8336798339999998</v>
      </c>
      <c r="AH390" s="180"/>
      <c r="AM390" s="218">
        <v>99</v>
      </c>
      <c r="BS390" s="218">
        <v>50.2562675</v>
      </c>
      <c r="BT390" s="180"/>
      <c r="BU390" s="218">
        <v>19.7322788</v>
      </c>
      <c r="BV390" s="180"/>
    </row>
    <row r="391" spans="1:74">
      <c r="A391" s="154" t="s">
        <v>7755</v>
      </c>
      <c r="B391" s="224" t="s">
        <v>259</v>
      </c>
      <c r="C391" s="224" t="s">
        <v>7987</v>
      </c>
      <c r="D391" s="224"/>
      <c r="E391" s="223">
        <v>7</v>
      </c>
      <c r="F391" s="225">
        <v>4</v>
      </c>
      <c r="G391" s="223"/>
      <c r="I391" s="253">
        <v>39</v>
      </c>
      <c r="S391" s="218">
        <v>1617.993052</v>
      </c>
      <c r="T391" s="180"/>
      <c r="Y391" s="218">
        <v>665.07987630000002</v>
      </c>
      <c r="Z391" s="180"/>
      <c r="AA391" s="218">
        <v>66969.506930000003</v>
      </c>
      <c r="AB391" s="180"/>
      <c r="AC391" s="252">
        <v>32.602647210000001</v>
      </c>
      <c r="AD391" s="180"/>
      <c r="AG391" s="218">
        <v>4.8682824030000003</v>
      </c>
      <c r="AH391" s="180"/>
      <c r="AM391" s="218">
        <v>94</v>
      </c>
      <c r="BS391" s="218">
        <v>49.627658799999999</v>
      </c>
      <c r="BT391" s="180"/>
      <c r="BU391" s="218">
        <v>20.399566700000001</v>
      </c>
      <c r="BV391" s="180"/>
    </row>
    <row r="392" spans="1:74">
      <c r="A392" s="154" t="s">
        <v>7755</v>
      </c>
      <c r="B392" s="224" t="s">
        <v>259</v>
      </c>
      <c r="C392" s="224" t="s">
        <v>7988</v>
      </c>
      <c r="D392" s="224"/>
      <c r="E392" s="222">
        <v>9</v>
      </c>
      <c r="F392" s="225">
        <v>34</v>
      </c>
      <c r="G392" s="223"/>
      <c r="I392" s="253">
        <v>44</v>
      </c>
      <c r="S392" s="218">
        <v>1774.267503</v>
      </c>
      <c r="T392" s="180"/>
      <c r="Y392" s="218">
        <v>705.6913998</v>
      </c>
      <c r="Z392" s="180"/>
      <c r="AA392" s="218">
        <v>67973.216610000003</v>
      </c>
      <c r="AB392" s="180"/>
      <c r="AC392" s="252">
        <v>35.652998449999998</v>
      </c>
      <c r="AD392" s="180"/>
      <c r="AG392" s="218">
        <v>5.2451539340000002</v>
      </c>
      <c r="AH392" s="180"/>
      <c r="AM392" s="218">
        <v>99</v>
      </c>
      <c r="BS392" s="218">
        <v>49.764888800000001</v>
      </c>
      <c r="BT392" s="180"/>
      <c r="BU392" s="218">
        <v>19.793325400000001</v>
      </c>
      <c r="BV392" s="180"/>
    </row>
    <row r="393" spans="1:74">
      <c r="A393" s="154" t="s">
        <v>7755</v>
      </c>
      <c r="B393" s="224" t="s">
        <v>259</v>
      </c>
      <c r="C393" s="224" t="s">
        <v>7989</v>
      </c>
      <c r="D393" s="224"/>
      <c r="E393" s="222">
        <v>15</v>
      </c>
      <c r="F393" s="225">
        <v>13</v>
      </c>
      <c r="G393" s="223"/>
      <c r="I393" s="253">
        <v>22</v>
      </c>
      <c r="S393" s="218">
        <v>1639.988274</v>
      </c>
      <c r="T393" s="180"/>
      <c r="Y393" s="218">
        <v>652.86648779999996</v>
      </c>
      <c r="Z393" s="180"/>
      <c r="AA393" s="218">
        <v>68443.325039999996</v>
      </c>
      <c r="AB393" s="180"/>
      <c r="AC393" s="252">
        <v>32.724682369999996</v>
      </c>
      <c r="AD393" s="180"/>
      <c r="AG393" s="218">
        <v>4.7812817900000004</v>
      </c>
      <c r="AH393" s="180"/>
      <c r="AM393" s="218">
        <v>94</v>
      </c>
      <c r="BS393" s="218">
        <v>50.114719399999998</v>
      </c>
      <c r="BT393" s="180"/>
      <c r="BU393" s="218">
        <v>19.9502773</v>
      </c>
      <c r="BV393" s="180"/>
    </row>
    <row r="394" spans="1:74">
      <c r="A394" s="154" t="s">
        <v>7756</v>
      </c>
      <c r="B394" s="224" t="s">
        <v>257</v>
      </c>
      <c r="C394" s="224" t="s">
        <v>405</v>
      </c>
      <c r="D394" s="224"/>
      <c r="E394" s="222">
        <v>1</v>
      </c>
      <c r="F394" s="225">
        <v>11</v>
      </c>
      <c r="G394" s="223"/>
      <c r="I394" s="253">
        <v>30</v>
      </c>
      <c r="S394" s="218">
        <v>1544.4037949999999</v>
      </c>
      <c r="T394" s="180"/>
      <c r="Y394" s="218">
        <v>550.0940799</v>
      </c>
      <c r="Z394" s="180"/>
      <c r="AA394" s="218">
        <v>60365.731849999996</v>
      </c>
      <c r="AB394" s="180"/>
      <c r="AC394" s="252">
        <v>30.410293329999998</v>
      </c>
      <c r="AD394" s="180"/>
      <c r="AG394" s="218">
        <v>5.0376749189999996</v>
      </c>
      <c r="AH394" s="180"/>
      <c r="AM394" s="218">
        <v>92</v>
      </c>
      <c r="BS394" s="218">
        <v>50.785560599999997</v>
      </c>
      <c r="BT394" s="180"/>
      <c r="BU394" s="218">
        <v>18.089075099999999</v>
      </c>
      <c r="BV394" s="180"/>
    </row>
    <row r="395" spans="1:74">
      <c r="A395" s="154" t="s">
        <v>7756</v>
      </c>
      <c r="B395" s="224" t="s">
        <v>257</v>
      </c>
      <c r="C395" s="224" t="s">
        <v>7987</v>
      </c>
      <c r="D395" s="224"/>
      <c r="E395" s="222">
        <v>7</v>
      </c>
      <c r="F395" s="225">
        <v>44</v>
      </c>
      <c r="G395" s="223"/>
      <c r="I395" s="253">
        <v>40</v>
      </c>
      <c r="S395" s="218">
        <v>1705.7100049999999</v>
      </c>
      <c r="T395" s="180"/>
      <c r="Y395" s="218">
        <v>632.39974080000002</v>
      </c>
      <c r="Z395" s="180"/>
      <c r="AA395" s="218">
        <v>68265.951159999997</v>
      </c>
      <c r="AB395" s="180"/>
      <c r="AC395" s="252">
        <v>33.840616050000001</v>
      </c>
      <c r="AD395" s="180"/>
      <c r="AG395" s="218">
        <v>4.9571734479999998</v>
      </c>
      <c r="AH395" s="180"/>
      <c r="AM395" s="218">
        <v>89</v>
      </c>
      <c r="BS395" s="218">
        <v>50.404224399999997</v>
      </c>
      <c r="BT395" s="180"/>
      <c r="BU395" s="218">
        <v>18.687595399999999</v>
      </c>
      <c r="BV395" s="180"/>
    </row>
    <row r="396" spans="1:74">
      <c r="A396" s="154" t="s">
        <v>7756</v>
      </c>
      <c r="B396" s="224" t="s">
        <v>257</v>
      </c>
      <c r="C396" s="224" t="s">
        <v>7988</v>
      </c>
      <c r="D396" s="224"/>
      <c r="E396" s="222">
        <v>10</v>
      </c>
      <c r="F396" s="225">
        <v>8</v>
      </c>
      <c r="G396" s="223"/>
      <c r="I396" s="253">
        <v>34</v>
      </c>
      <c r="S396" s="218">
        <v>1230.7687530000001</v>
      </c>
      <c r="T396" s="180"/>
      <c r="Y396" s="218">
        <v>470.53015069999998</v>
      </c>
      <c r="Z396" s="180"/>
      <c r="AA396" s="218">
        <v>48898.964330000003</v>
      </c>
      <c r="AB396" s="180"/>
      <c r="AC396" s="252">
        <v>24.692626189999999</v>
      </c>
      <c r="AD396" s="180"/>
      <c r="AG396" s="218">
        <v>5.0497237569999998</v>
      </c>
      <c r="AH396" s="180"/>
      <c r="AM396" s="218">
        <v>87</v>
      </c>
      <c r="BS396" s="218">
        <v>49.843574500000003</v>
      </c>
      <c r="BT396" s="180"/>
      <c r="BU396" s="218">
        <v>19.055492399999999</v>
      </c>
      <c r="BV396" s="180"/>
    </row>
    <row r="397" spans="1:74">
      <c r="A397" s="154" t="s">
        <v>7756</v>
      </c>
      <c r="B397" s="224" t="s">
        <v>257</v>
      </c>
      <c r="C397" s="224" t="s">
        <v>7989</v>
      </c>
      <c r="D397" s="224"/>
      <c r="E397" s="223">
        <v>13</v>
      </c>
      <c r="F397" s="225">
        <v>48</v>
      </c>
      <c r="G397" s="223"/>
      <c r="I397" s="253">
        <v>38</v>
      </c>
      <c r="S397" s="218">
        <v>2052.6157029999999</v>
      </c>
      <c r="T397" s="180"/>
      <c r="Y397" s="218">
        <v>735.19955149999998</v>
      </c>
      <c r="Z397" s="180"/>
      <c r="AA397" s="218">
        <v>85394.026029999994</v>
      </c>
      <c r="AB397" s="180"/>
      <c r="AC397" s="252">
        <v>40.518593979999999</v>
      </c>
      <c r="AD397" s="180"/>
      <c r="AG397" s="218">
        <v>4.7448979590000002</v>
      </c>
      <c r="AH397" s="180"/>
      <c r="AM397" s="218">
        <v>89</v>
      </c>
      <c r="BS397" s="218">
        <v>50.658611299999997</v>
      </c>
      <c r="BT397" s="180"/>
      <c r="BU397" s="218">
        <v>18.144744899999999</v>
      </c>
      <c r="BV397" s="180"/>
    </row>
    <row r="398" spans="1:74">
      <c r="A398" s="154" t="s">
        <v>7756</v>
      </c>
      <c r="B398" s="224" t="s">
        <v>259</v>
      </c>
      <c r="C398" s="224" t="s">
        <v>405</v>
      </c>
      <c r="D398" s="224"/>
      <c r="E398" s="222">
        <v>1</v>
      </c>
      <c r="F398" s="225">
        <v>37</v>
      </c>
      <c r="G398" s="223"/>
      <c r="I398" s="253">
        <v>38</v>
      </c>
      <c r="S398" s="218">
        <v>1748.750458</v>
      </c>
      <c r="T398" s="180"/>
      <c r="Y398" s="218">
        <v>716.3386868</v>
      </c>
      <c r="Z398" s="180"/>
      <c r="AA398" s="218">
        <v>75514.603520000004</v>
      </c>
      <c r="AB398" s="180"/>
      <c r="AC398" s="252">
        <v>35.62302468</v>
      </c>
      <c r="AD398" s="180"/>
      <c r="AG398" s="218">
        <v>4.7173689620000001</v>
      </c>
      <c r="AH398" s="180"/>
      <c r="AM398" s="218">
        <v>92</v>
      </c>
      <c r="BS398" s="218">
        <v>49.090454100000002</v>
      </c>
      <c r="BT398" s="180"/>
      <c r="BU398" s="218">
        <v>20.1088676</v>
      </c>
      <c r="BV398" s="180"/>
    </row>
    <row r="399" spans="1:74">
      <c r="A399" s="154" t="s">
        <v>7756</v>
      </c>
      <c r="B399" s="224" t="s">
        <v>259</v>
      </c>
      <c r="C399" s="224" t="s">
        <v>7987</v>
      </c>
      <c r="D399" s="224"/>
      <c r="E399" s="222">
        <v>5</v>
      </c>
      <c r="F399" s="225">
        <v>3</v>
      </c>
      <c r="G399" s="223"/>
      <c r="I399" s="253">
        <v>34</v>
      </c>
      <c r="S399" s="218">
        <v>2166.0060319999998</v>
      </c>
      <c r="T399" s="180"/>
      <c r="Y399" s="218">
        <v>848.92357819999995</v>
      </c>
      <c r="Z399" s="180"/>
      <c r="AA399" s="218">
        <v>85296.812730000005</v>
      </c>
      <c r="AB399" s="180"/>
      <c r="AC399" s="252">
        <v>43.435619080000002</v>
      </c>
      <c r="AD399" s="180"/>
      <c r="AG399" s="218">
        <v>5.0922909880000002</v>
      </c>
      <c r="AH399" s="180"/>
      <c r="AM399" s="218">
        <v>89</v>
      </c>
      <c r="BS399" s="218">
        <v>49.8670464</v>
      </c>
      <c r="BT399" s="180"/>
      <c r="BU399" s="218">
        <v>19.5444107</v>
      </c>
      <c r="BV399" s="180"/>
    </row>
    <row r="400" spans="1:74">
      <c r="A400" s="154" t="s">
        <v>7756</v>
      </c>
      <c r="B400" s="224" t="s">
        <v>259</v>
      </c>
      <c r="C400" s="224" t="s">
        <v>7988</v>
      </c>
      <c r="D400" s="224"/>
      <c r="E400" s="222">
        <v>11</v>
      </c>
      <c r="F400" s="225">
        <v>51</v>
      </c>
      <c r="G400" s="223"/>
      <c r="I400" s="253">
        <v>39</v>
      </c>
      <c r="S400" s="218">
        <v>2177.9351790000001</v>
      </c>
      <c r="T400" s="180"/>
      <c r="Y400" s="218">
        <v>826.51026920000004</v>
      </c>
      <c r="Z400" s="180"/>
      <c r="AA400" s="218">
        <v>88709.721579999998</v>
      </c>
      <c r="AB400" s="180"/>
      <c r="AC400" s="252">
        <v>43.784991060000003</v>
      </c>
      <c r="AD400" s="180"/>
      <c r="AG400" s="218">
        <v>4.9357601710000001</v>
      </c>
      <c r="AH400" s="180"/>
      <c r="AM400" s="218">
        <v>92</v>
      </c>
      <c r="BS400" s="218">
        <v>49.741592400000002</v>
      </c>
      <c r="BT400" s="180"/>
      <c r="BU400" s="218">
        <v>18.876565899999999</v>
      </c>
      <c r="BV400" s="180"/>
    </row>
    <row r="401" spans="1:74">
      <c r="A401" s="154" t="s">
        <v>7756</v>
      </c>
      <c r="B401" s="224" t="s">
        <v>259</v>
      </c>
      <c r="C401" s="224" t="s">
        <v>7989</v>
      </c>
      <c r="D401" s="224"/>
      <c r="E401" s="222">
        <v>16</v>
      </c>
      <c r="F401" s="225">
        <v>21</v>
      </c>
      <c r="G401" s="223"/>
      <c r="I401" s="253">
        <v>41</v>
      </c>
      <c r="S401" s="218">
        <v>1915.735527</v>
      </c>
      <c r="T401" s="180"/>
      <c r="Y401" s="218">
        <v>800.06938920000005</v>
      </c>
      <c r="Z401" s="180"/>
      <c r="AA401" s="218">
        <v>82489.191089999993</v>
      </c>
      <c r="AB401" s="180"/>
      <c r="AC401" s="252">
        <v>39.381390000000003</v>
      </c>
      <c r="AD401" s="180"/>
      <c r="AG401" s="218">
        <v>4.7741273099999999</v>
      </c>
      <c r="AH401" s="180"/>
      <c r="AM401" s="218">
        <v>92</v>
      </c>
      <c r="BS401" s="218">
        <v>48.645706199999999</v>
      </c>
      <c r="BT401" s="180"/>
      <c r="BU401" s="218">
        <v>20.3159256</v>
      </c>
      <c r="BV401" s="180"/>
    </row>
    <row r="402" spans="1:74">
      <c r="A402" s="154" t="s">
        <v>7757</v>
      </c>
      <c r="B402" s="224" t="s">
        <v>257</v>
      </c>
      <c r="C402" s="224" t="s">
        <v>405</v>
      </c>
      <c r="D402" s="224"/>
      <c r="E402" s="223">
        <v>3</v>
      </c>
      <c r="F402" s="225">
        <v>27</v>
      </c>
      <c r="G402" s="223"/>
      <c r="I402" s="253">
        <v>33</v>
      </c>
      <c r="S402" s="218">
        <v>1360.4729010000001</v>
      </c>
      <c r="T402" s="180"/>
      <c r="Y402" s="218">
        <v>503.2861403</v>
      </c>
      <c r="Z402" s="180"/>
      <c r="AA402" s="218">
        <v>57994.125970000001</v>
      </c>
      <c r="AB402" s="180"/>
      <c r="AC402" s="252">
        <v>27.844460059999999</v>
      </c>
      <c r="AD402" s="180"/>
      <c r="AG402" s="218">
        <v>4.8012552299999998</v>
      </c>
      <c r="AH402" s="180"/>
      <c r="AM402" s="218">
        <v>92</v>
      </c>
      <c r="BS402" s="218">
        <v>48.859733599999998</v>
      </c>
      <c r="BT402" s="180"/>
      <c r="BU402" s="218">
        <v>18.074911100000001</v>
      </c>
      <c r="BV402" s="180"/>
    </row>
    <row r="403" spans="1:74">
      <c r="A403" s="154" t="s">
        <v>7757</v>
      </c>
      <c r="B403" s="224" t="s">
        <v>257</v>
      </c>
      <c r="C403" s="224" t="s">
        <v>7987</v>
      </c>
      <c r="D403" s="224"/>
      <c r="E403" s="223">
        <v>6</v>
      </c>
      <c r="F403" s="225">
        <v>40</v>
      </c>
      <c r="G403" s="223"/>
      <c r="I403" s="253">
        <v>36</v>
      </c>
      <c r="S403" s="218">
        <v>1465.0092749999999</v>
      </c>
      <c r="T403" s="180"/>
      <c r="Y403" s="218">
        <v>585.48297449999995</v>
      </c>
      <c r="Z403" s="180"/>
      <c r="AA403" s="218">
        <v>62665.034749999999</v>
      </c>
      <c r="AB403" s="180"/>
      <c r="AC403" s="252">
        <v>30.83935078</v>
      </c>
      <c r="AD403" s="180"/>
      <c r="AG403" s="218">
        <v>4.921301154</v>
      </c>
      <c r="AH403" s="180"/>
      <c r="AM403" s="218">
        <v>89</v>
      </c>
      <c r="BS403" s="218">
        <v>47.504543300000002</v>
      </c>
      <c r="BT403" s="180"/>
      <c r="BU403" s="218">
        <v>18.984931899999999</v>
      </c>
      <c r="BV403" s="180"/>
    </row>
    <row r="404" spans="1:74">
      <c r="A404" s="154" t="s">
        <v>7757</v>
      </c>
      <c r="B404" s="224" t="s">
        <v>257</v>
      </c>
      <c r="C404" s="224" t="s">
        <v>7988</v>
      </c>
      <c r="D404" s="224"/>
      <c r="E404" s="222">
        <v>12</v>
      </c>
      <c r="F404" s="225">
        <v>29</v>
      </c>
      <c r="G404" s="223"/>
      <c r="I404" s="253">
        <v>29</v>
      </c>
      <c r="S404" s="218">
        <v>1524.1858119999999</v>
      </c>
      <c r="T404" s="180"/>
      <c r="Y404" s="218">
        <v>586.55568440000002</v>
      </c>
      <c r="Z404" s="180"/>
      <c r="AA404" s="218">
        <v>64898.121800000001</v>
      </c>
      <c r="AB404" s="180"/>
      <c r="AC404" s="252">
        <v>31.457466839999999</v>
      </c>
      <c r="AD404" s="180"/>
      <c r="AG404" s="218">
        <v>4.8472075869999998</v>
      </c>
      <c r="AH404" s="180"/>
      <c r="AM404" s="218">
        <v>89</v>
      </c>
      <c r="BS404" s="218">
        <v>48.452274299999999</v>
      </c>
      <c r="BT404" s="180"/>
      <c r="BU404" s="218">
        <v>18.6459923</v>
      </c>
      <c r="BV404" s="180"/>
    </row>
    <row r="405" spans="1:74">
      <c r="A405" s="154" t="s">
        <v>7757</v>
      </c>
      <c r="B405" s="224" t="s">
        <v>257</v>
      </c>
      <c r="C405" s="224" t="s">
        <v>7989</v>
      </c>
      <c r="D405" s="224"/>
      <c r="E405" s="222">
        <v>14</v>
      </c>
      <c r="F405" s="225">
        <v>43</v>
      </c>
      <c r="G405" s="223"/>
      <c r="I405" s="253">
        <v>33</v>
      </c>
      <c r="S405" s="218">
        <v>1328.1757540000001</v>
      </c>
      <c r="T405" s="180"/>
      <c r="Y405" s="218">
        <v>530.71134719999998</v>
      </c>
      <c r="Z405" s="180"/>
      <c r="AA405" s="218">
        <v>58179.182540000002</v>
      </c>
      <c r="AB405" s="180"/>
      <c r="AC405" s="252">
        <v>27.63659436</v>
      </c>
      <c r="AD405" s="180"/>
      <c r="AG405" s="218">
        <v>4.7502548420000004</v>
      </c>
      <c r="AH405" s="180"/>
      <c r="AM405" s="218">
        <v>89</v>
      </c>
      <c r="BS405" s="218">
        <v>48.058589900000001</v>
      </c>
      <c r="BT405" s="180"/>
      <c r="BU405" s="218">
        <v>19.203210800000001</v>
      </c>
      <c r="BV405" s="180"/>
    </row>
    <row r="406" spans="1:74">
      <c r="A406" s="154" t="s">
        <v>7757</v>
      </c>
      <c r="B406" s="224" t="s">
        <v>259</v>
      </c>
      <c r="C406" s="224" t="s">
        <v>405</v>
      </c>
      <c r="D406" s="224"/>
      <c r="E406" s="222">
        <v>1</v>
      </c>
      <c r="F406" s="225">
        <v>34</v>
      </c>
      <c r="G406" s="223"/>
      <c r="I406" s="253">
        <v>29</v>
      </c>
      <c r="S406" s="218">
        <v>1210.6445719999999</v>
      </c>
      <c r="T406" s="180"/>
      <c r="Y406" s="218">
        <v>537.28912449999996</v>
      </c>
      <c r="Z406" s="180"/>
      <c r="AA406" s="218">
        <v>53789.67067</v>
      </c>
      <c r="AB406" s="180"/>
      <c r="AC406" s="252">
        <v>25.913271999999999</v>
      </c>
      <c r="AD406" s="180"/>
      <c r="AG406" s="218">
        <v>4.8175182479999998</v>
      </c>
      <c r="AH406" s="180"/>
      <c r="AM406" s="218">
        <v>92</v>
      </c>
      <c r="BS406" s="218">
        <v>46.719093299999997</v>
      </c>
      <c r="BT406" s="180"/>
      <c r="BU406" s="218">
        <v>20.734128999999999</v>
      </c>
      <c r="BV406" s="180"/>
    </row>
    <row r="407" spans="1:74">
      <c r="A407" s="154" t="s">
        <v>7757</v>
      </c>
      <c r="B407" s="224" t="s">
        <v>259</v>
      </c>
      <c r="C407" s="224" t="s">
        <v>7987</v>
      </c>
      <c r="D407" s="224"/>
      <c r="E407" s="222">
        <v>7</v>
      </c>
      <c r="F407" s="225">
        <v>32</v>
      </c>
      <c r="G407" s="223"/>
      <c r="I407" s="253">
        <v>38</v>
      </c>
      <c r="S407" s="218">
        <v>1694.33446</v>
      </c>
      <c r="T407" s="180"/>
      <c r="Y407" s="218">
        <v>692.1990055</v>
      </c>
      <c r="Z407" s="180"/>
      <c r="AA407" s="218">
        <v>75492.110690000001</v>
      </c>
      <c r="AB407" s="180"/>
      <c r="AC407" s="252">
        <v>35.3416049</v>
      </c>
      <c r="AD407" s="180"/>
      <c r="AG407" s="218">
        <v>4.6814964610000001</v>
      </c>
      <c r="AH407" s="180"/>
      <c r="AM407" s="218">
        <v>92</v>
      </c>
      <c r="BS407" s="218">
        <v>47.941638900000001</v>
      </c>
      <c r="BT407" s="180"/>
      <c r="BU407" s="218">
        <v>19.585952800000001</v>
      </c>
      <c r="BV407" s="180"/>
    </row>
    <row r="408" spans="1:74">
      <c r="A408" s="154" t="s">
        <v>7757</v>
      </c>
      <c r="B408" s="224" t="s">
        <v>259</v>
      </c>
      <c r="C408" s="224" t="s">
        <v>7988</v>
      </c>
      <c r="D408" s="224"/>
      <c r="E408" s="223">
        <v>12</v>
      </c>
      <c r="F408" s="225">
        <v>45</v>
      </c>
      <c r="G408" s="223"/>
      <c r="I408" s="253">
        <v>37</v>
      </c>
      <c r="S408" s="218">
        <v>1661.1071380000001</v>
      </c>
      <c r="T408" s="180"/>
      <c r="Y408" s="218">
        <v>743.54748729999994</v>
      </c>
      <c r="Z408" s="180"/>
      <c r="AA408" s="218">
        <v>74640.354850000003</v>
      </c>
      <c r="AB408" s="180"/>
      <c r="AC408" s="252">
        <v>35.943774670000003</v>
      </c>
      <c r="AD408" s="180"/>
      <c r="AG408" s="218">
        <v>4.815595364</v>
      </c>
      <c r="AH408" s="180"/>
      <c r="AM408" s="218">
        <v>92</v>
      </c>
      <c r="BS408" s="218">
        <v>46.2140427</v>
      </c>
      <c r="BT408" s="180"/>
      <c r="BU408" s="218">
        <v>20.686405199999999</v>
      </c>
      <c r="BV408" s="180"/>
    </row>
    <row r="409" spans="1:74">
      <c r="A409" s="154" t="s">
        <v>7757</v>
      </c>
      <c r="B409" s="224" t="s">
        <v>259</v>
      </c>
      <c r="C409" s="224" t="s">
        <v>7989</v>
      </c>
      <c r="D409" s="224"/>
      <c r="E409" s="223">
        <v>13</v>
      </c>
      <c r="F409" s="225">
        <v>24</v>
      </c>
      <c r="G409" s="223"/>
      <c r="I409" s="253">
        <v>37</v>
      </c>
      <c r="S409" s="218">
        <v>1445.983285</v>
      </c>
      <c r="T409" s="180"/>
      <c r="Y409" s="218">
        <v>626.62772500000005</v>
      </c>
      <c r="Z409" s="180"/>
      <c r="AA409" s="218">
        <v>75220.484219999998</v>
      </c>
      <c r="AB409" s="180"/>
      <c r="AC409" s="252">
        <v>30.522288459999999</v>
      </c>
      <c r="AD409" s="180"/>
      <c r="AG409" s="218">
        <v>4.0577096480000003</v>
      </c>
      <c r="AH409" s="180"/>
      <c r="AM409" s="218">
        <v>92</v>
      </c>
      <c r="BS409" s="218">
        <v>47.374668100000001</v>
      </c>
      <c r="BT409" s="180"/>
      <c r="BU409" s="218">
        <v>20.530168499999998</v>
      </c>
      <c r="BV409" s="180"/>
    </row>
    <row r="410" spans="1:74">
      <c r="A410" s="154" t="s">
        <v>7847</v>
      </c>
      <c r="B410" s="224" t="s">
        <v>257</v>
      </c>
      <c r="C410" s="224" t="s">
        <v>405</v>
      </c>
      <c r="D410" s="224"/>
      <c r="E410" s="222">
        <v>3</v>
      </c>
      <c r="F410" s="225">
        <v>25</v>
      </c>
      <c r="G410" s="223"/>
      <c r="I410" s="253">
        <v>34</v>
      </c>
      <c r="S410" s="218">
        <v>1383.4727820000001</v>
      </c>
      <c r="T410" s="180"/>
      <c r="Y410" s="218">
        <v>464.7881835</v>
      </c>
      <c r="Z410" s="180"/>
      <c r="AA410" s="218">
        <v>62744.454709999998</v>
      </c>
      <c r="AB410" s="180"/>
      <c r="AC410" s="252">
        <v>27.208810270000001</v>
      </c>
      <c r="AD410" s="180"/>
      <c r="AG410" s="218">
        <v>4.3364485979999996</v>
      </c>
      <c r="AH410" s="180"/>
      <c r="AM410" s="218">
        <v>89</v>
      </c>
      <c r="BS410" s="218">
        <v>50.846500399999996</v>
      </c>
      <c r="BT410" s="180"/>
      <c r="BU410" s="218">
        <v>17.0822678</v>
      </c>
      <c r="BV410" s="180"/>
    </row>
    <row r="411" spans="1:74">
      <c r="A411" s="154" t="s">
        <v>7847</v>
      </c>
      <c r="B411" s="224" t="s">
        <v>257</v>
      </c>
      <c r="C411" s="224" t="s">
        <v>7987</v>
      </c>
      <c r="D411" s="224"/>
      <c r="E411" s="222">
        <v>5</v>
      </c>
      <c r="F411" s="225">
        <v>57</v>
      </c>
      <c r="G411" s="223"/>
      <c r="I411" s="253">
        <v>34</v>
      </c>
      <c r="S411" s="218">
        <v>1488.8908369999999</v>
      </c>
      <c r="T411" s="180"/>
      <c r="Y411" s="218">
        <v>524.85995660000003</v>
      </c>
      <c r="Z411" s="180"/>
      <c r="AA411" s="218">
        <v>66936.914319999996</v>
      </c>
      <c r="AB411" s="180"/>
      <c r="AC411" s="252">
        <v>29.506358769999999</v>
      </c>
      <c r="AD411" s="180"/>
      <c r="AG411" s="218">
        <v>4.4080846969999996</v>
      </c>
      <c r="AH411" s="180"/>
      <c r="AM411" s="218">
        <v>81</v>
      </c>
      <c r="BS411" s="218">
        <v>50.459999099999997</v>
      </c>
      <c r="BT411" s="180"/>
      <c r="BU411" s="218">
        <v>17.788028700000002</v>
      </c>
      <c r="BV411" s="180"/>
    </row>
    <row r="412" spans="1:74">
      <c r="A412" s="154" t="s">
        <v>7847</v>
      </c>
      <c r="B412" s="224" t="s">
        <v>257</v>
      </c>
      <c r="C412" s="224" t="s">
        <v>7988</v>
      </c>
      <c r="D412" s="224"/>
      <c r="E412" s="222">
        <v>12</v>
      </c>
      <c r="F412" s="225">
        <v>22</v>
      </c>
      <c r="G412" s="223"/>
      <c r="I412" s="253">
        <v>33</v>
      </c>
      <c r="S412" s="218">
        <v>1685.3333090000001</v>
      </c>
      <c r="T412" s="180"/>
      <c r="Y412" s="218">
        <v>592.87533189999999</v>
      </c>
      <c r="Z412" s="180"/>
      <c r="AA412" s="218">
        <v>75848.867079999996</v>
      </c>
      <c r="AB412" s="180"/>
      <c r="AC412" s="252">
        <v>33.373501519999998</v>
      </c>
      <c r="AD412" s="180"/>
      <c r="AG412" s="218">
        <v>4.4000000000000004</v>
      </c>
      <c r="AH412" s="180"/>
      <c r="AM412" s="218">
        <v>81</v>
      </c>
      <c r="BS412" s="218">
        <v>50.499145499999997</v>
      </c>
      <c r="BT412" s="180"/>
      <c r="BU412" s="218">
        <v>17.7648525</v>
      </c>
      <c r="BV412" s="180"/>
    </row>
    <row r="413" spans="1:74">
      <c r="A413" s="154" t="s">
        <v>7847</v>
      </c>
      <c r="B413" s="224" t="s">
        <v>257</v>
      </c>
      <c r="C413" s="224" t="s">
        <v>7989</v>
      </c>
      <c r="D413" s="224"/>
      <c r="E413" s="222">
        <v>14</v>
      </c>
      <c r="F413" s="225">
        <v>63</v>
      </c>
      <c r="G413" s="223"/>
      <c r="I413" s="253">
        <v>33</v>
      </c>
      <c r="S413" s="218">
        <v>1507.704512</v>
      </c>
      <c r="T413" s="180"/>
      <c r="Y413" s="218">
        <v>501.7049834</v>
      </c>
      <c r="Z413" s="180"/>
      <c r="AA413" s="218">
        <v>70697.435899999997</v>
      </c>
      <c r="AB413" s="180"/>
      <c r="AC413" s="252">
        <v>29.038746440000001</v>
      </c>
      <c r="AD413" s="180"/>
      <c r="AG413" s="218">
        <v>4.1074681240000004</v>
      </c>
      <c r="AH413" s="180"/>
      <c r="AM413" s="218">
        <v>81</v>
      </c>
      <c r="BS413" s="218">
        <v>51.9204407</v>
      </c>
      <c r="BT413" s="180"/>
      <c r="BU413" s="218">
        <v>17.277088200000001</v>
      </c>
      <c r="BV413" s="180"/>
    </row>
    <row r="414" spans="1:74">
      <c r="A414" s="154" t="s">
        <v>7847</v>
      </c>
      <c r="B414" s="224" t="s">
        <v>259</v>
      </c>
      <c r="C414" s="224" t="s">
        <v>405</v>
      </c>
      <c r="D414" s="224"/>
      <c r="E414" s="223">
        <v>1</v>
      </c>
      <c r="F414" s="225">
        <v>39</v>
      </c>
      <c r="G414" s="223"/>
      <c r="I414" s="253">
        <v>38</v>
      </c>
      <c r="S414" s="218">
        <v>1730.9907049999999</v>
      </c>
      <c r="T414" s="180"/>
      <c r="Y414" s="218">
        <v>661.14496489999999</v>
      </c>
      <c r="Z414" s="180"/>
      <c r="AA414" s="218">
        <v>82526.152759999997</v>
      </c>
      <c r="AB414" s="180"/>
      <c r="AC414" s="252">
        <v>34.96998619</v>
      </c>
      <c r="AD414" s="180"/>
      <c r="AG414" s="218">
        <v>4.2374429219999996</v>
      </c>
      <c r="AH414" s="180"/>
      <c r="AM414" s="218">
        <v>83</v>
      </c>
      <c r="BS414" s="218">
        <v>49.499324799999997</v>
      </c>
      <c r="BT414" s="180"/>
      <c r="BU414" s="218">
        <v>18.9060688</v>
      </c>
      <c r="BV414" s="180"/>
    </row>
    <row r="415" spans="1:74">
      <c r="A415" s="154" t="s">
        <v>7847</v>
      </c>
      <c r="B415" s="224" t="s">
        <v>259</v>
      </c>
      <c r="C415" s="224" t="s">
        <v>7987</v>
      </c>
      <c r="D415" s="224"/>
      <c r="E415" s="223">
        <v>6</v>
      </c>
      <c r="F415" s="225">
        <v>11</v>
      </c>
      <c r="G415" s="223"/>
      <c r="I415" s="253">
        <v>35</v>
      </c>
      <c r="S415" s="218">
        <v>1628.946189</v>
      </c>
      <c r="T415" s="180"/>
      <c r="Y415" s="218">
        <v>641.98124040000005</v>
      </c>
      <c r="Z415" s="180"/>
      <c r="AA415" s="218">
        <v>75055.784109999993</v>
      </c>
      <c r="AB415" s="180"/>
      <c r="AC415" s="252">
        <v>32.934082289999999</v>
      </c>
      <c r="AD415" s="180"/>
      <c r="AG415" s="218">
        <v>4.3879472689999997</v>
      </c>
      <c r="AH415" s="180"/>
      <c r="AM415" s="218">
        <v>81</v>
      </c>
      <c r="BS415" s="218">
        <v>49.460804000000003</v>
      </c>
      <c r="BT415" s="180"/>
      <c r="BU415" s="218">
        <v>19.492914200000001</v>
      </c>
      <c r="BV415" s="180"/>
    </row>
    <row r="416" spans="1:74">
      <c r="A416" s="154" t="s">
        <v>7847</v>
      </c>
      <c r="B416" s="224" t="s">
        <v>259</v>
      </c>
      <c r="C416" s="224" t="s">
        <v>7988</v>
      </c>
      <c r="D416" s="224"/>
      <c r="E416" s="222">
        <v>11</v>
      </c>
      <c r="F416" s="225">
        <v>54</v>
      </c>
      <c r="G416" s="223"/>
      <c r="I416" s="253">
        <v>39</v>
      </c>
      <c r="S416" s="218">
        <v>1587.8745160000001</v>
      </c>
      <c r="T416" s="180"/>
      <c r="Y416" s="218">
        <v>637.0201227</v>
      </c>
      <c r="Z416" s="180"/>
      <c r="AA416" s="218">
        <v>75935.397949999999</v>
      </c>
      <c r="AB416" s="180"/>
      <c r="AC416" s="252">
        <v>32.604232209999999</v>
      </c>
      <c r="AD416" s="180"/>
      <c r="AG416" s="218">
        <v>4.2936802969999999</v>
      </c>
      <c r="AH416" s="180"/>
      <c r="AM416" s="218">
        <v>81</v>
      </c>
      <c r="BS416" s="218">
        <v>48.701484700000002</v>
      </c>
      <c r="BT416" s="180"/>
      <c r="BU416" s="218">
        <v>19.537958100000001</v>
      </c>
      <c r="BV416" s="180"/>
    </row>
    <row r="417" spans="1:74">
      <c r="A417" s="154" t="s">
        <v>7847</v>
      </c>
      <c r="B417" s="224" t="s">
        <v>259</v>
      </c>
      <c r="C417" s="224" t="s">
        <v>7989</v>
      </c>
      <c r="D417" s="224"/>
      <c r="E417" s="222">
        <v>13</v>
      </c>
      <c r="F417" s="225">
        <v>23</v>
      </c>
      <c r="G417" s="223"/>
      <c r="I417" s="253">
        <v>33</v>
      </c>
      <c r="S417" s="218">
        <v>1791.1693560000001</v>
      </c>
      <c r="T417" s="180"/>
      <c r="Y417" s="218">
        <v>680.53850290000003</v>
      </c>
      <c r="Z417" s="180"/>
      <c r="AA417" s="218">
        <v>83159.105939999994</v>
      </c>
      <c r="AB417" s="180"/>
      <c r="AC417" s="252">
        <v>36.115697449999999</v>
      </c>
      <c r="AD417" s="180"/>
      <c r="AG417" s="218">
        <v>4.342963653</v>
      </c>
      <c r="AH417" s="180"/>
      <c r="AM417" s="218">
        <v>81</v>
      </c>
      <c r="BS417" s="218">
        <v>49.595314000000002</v>
      </c>
      <c r="BT417" s="180"/>
      <c r="BU417" s="218">
        <v>18.843288399999999</v>
      </c>
      <c r="BV417" s="180"/>
    </row>
    <row r="418" spans="1:74">
      <c r="A418" s="154" t="s">
        <v>7758</v>
      </c>
      <c r="B418" s="224" t="s">
        <v>257</v>
      </c>
      <c r="C418" s="224" t="s">
        <v>405</v>
      </c>
      <c r="D418" s="224"/>
      <c r="E418" s="222">
        <v>3</v>
      </c>
      <c r="F418" s="225">
        <v>29</v>
      </c>
      <c r="G418" s="223"/>
      <c r="I418" s="253">
        <v>38</v>
      </c>
      <c r="S418" s="218">
        <v>1612.0613920000001</v>
      </c>
      <c r="T418" s="180"/>
      <c r="Y418" s="218">
        <v>586.08517470000004</v>
      </c>
      <c r="Z418" s="180"/>
      <c r="AA418" s="218">
        <v>63085.747920000002</v>
      </c>
      <c r="AB418" s="180"/>
      <c r="AC418" s="252">
        <v>31.68031568</v>
      </c>
      <c r="AD418" s="180"/>
      <c r="AG418" s="218">
        <v>5.0217864920000004</v>
      </c>
      <c r="AH418" s="180"/>
      <c r="AM418" s="218">
        <v>99</v>
      </c>
      <c r="BS418" s="218">
        <v>50.885269200000003</v>
      </c>
      <c r="BT418" s="180"/>
      <c r="BU418" s="218">
        <v>18.499979</v>
      </c>
      <c r="BV418" s="180"/>
    </row>
    <row r="419" spans="1:74">
      <c r="A419" s="154" t="s">
        <v>7758</v>
      </c>
      <c r="B419" s="224" t="s">
        <v>257</v>
      </c>
      <c r="C419" s="224" t="s">
        <v>7987</v>
      </c>
      <c r="D419" s="224"/>
      <c r="E419" s="222">
        <v>7</v>
      </c>
      <c r="F419" s="225">
        <v>58</v>
      </c>
      <c r="G419" s="223"/>
      <c r="I419" s="253">
        <v>34</v>
      </c>
      <c r="S419" s="218">
        <v>1645.621175</v>
      </c>
      <c r="T419" s="180"/>
      <c r="Y419" s="218">
        <v>560.50927149999995</v>
      </c>
      <c r="Z419" s="180"/>
      <c r="AA419" s="218">
        <v>60081.169020000001</v>
      </c>
      <c r="AB419" s="180"/>
      <c r="AC419" s="252">
        <v>31.86018563</v>
      </c>
      <c r="AD419" s="180"/>
      <c r="AG419" s="218">
        <v>5.3028571429999998</v>
      </c>
      <c r="AH419" s="180"/>
      <c r="AM419" s="218">
        <v>101</v>
      </c>
      <c r="BS419" s="218">
        <v>51.651336700000002</v>
      </c>
      <c r="BT419" s="180"/>
      <c r="BU419" s="218">
        <v>17.5927811</v>
      </c>
      <c r="BV419" s="180"/>
    </row>
    <row r="420" spans="1:74">
      <c r="A420" s="154" t="s">
        <v>7758</v>
      </c>
      <c r="B420" s="224" t="s">
        <v>257</v>
      </c>
      <c r="C420" s="224" t="s">
        <v>7988</v>
      </c>
      <c r="D420" s="224"/>
      <c r="E420" s="222">
        <v>10</v>
      </c>
      <c r="F420" s="225">
        <v>6</v>
      </c>
      <c r="G420" s="223"/>
      <c r="I420" s="253">
        <v>37</v>
      </c>
      <c r="S420" s="218">
        <v>1162.1364900000001</v>
      </c>
      <c r="T420" s="180"/>
      <c r="Y420" s="218">
        <v>400.33959290000001</v>
      </c>
      <c r="Z420" s="180"/>
      <c r="AA420" s="218">
        <v>43149.463049999998</v>
      </c>
      <c r="AB420" s="180"/>
      <c r="AC420" s="252">
        <v>22.459344659999999</v>
      </c>
      <c r="AD420" s="180"/>
      <c r="AG420" s="218">
        <v>5.2050113900000001</v>
      </c>
      <c r="AH420" s="180"/>
      <c r="AM420" s="218">
        <v>92</v>
      </c>
      <c r="BS420" s="218">
        <v>51.744007099999997</v>
      </c>
      <c r="BT420" s="180"/>
      <c r="BU420" s="218">
        <v>17.825078999999999</v>
      </c>
      <c r="BV420" s="180"/>
    </row>
    <row r="421" spans="1:74">
      <c r="A421" s="154" t="s">
        <v>7758</v>
      </c>
      <c r="B421" s="224" t="s">
        <v>257</v>
      </c>
      <c r="C421" s="224" t="s">
        <v>7989</v>
      </c>
      <c r="D421" s="224"/>
      <c r="E421" s="223">
        <v>15</v>
      </c>
      <c r="F421" s="225">
        <v>60</v>
      </c>
      <c r="G421" s="223"/>
      <c r="I421" s="253">
        <v>40</v>
      </c>
      <c r="S421" s="218">
        <v>1812.198298</v>
      </c>
      <c r="T421" s="180"/>
      <c r="Y421" s="218">
        <v>669.68300209999995</v>
      </c>
      <c r="Z421" s="180"/>
      <c r="AA421" s="218">
        <v>70490.157720000003</v>
      </c>
      <c r="AB421" s="180"/>
      <c r="AC421" s="252">
        <v>35.702807159999999</v>
      </c>
      <c r="AD421" s="180"/>
      <c r="AG421" s="218">
        <v>5.0649350650000002</v>
      </c>
      <c r="AH421" s="180"/>
      <c r="AM421" s="218">
        <v>101</v>
      </c>
      <c r="BS421" s="218">
        <v>50.757865899999999</v>
      </c>
      <c r="BT421" s="180"/>
      <c r="BU421" s="218">
        <v>18.757152600000001</v>
      </c>
      <c r="BV421" s="180"/>
    </row>
    <row r="422" spans="1:74">
      <c r="A422" s="154" t="s">
        <v>7758</v>
      </c>
      <c r="B422" s="224" t="s">
        <v>259</v>
      </c>
      <c r="C422" s="224" t="s">
        <v>405</v>
      </c>
      <c r="D422" s="224"/>
      <c r="E422" s="222">
        <v>4</v>
      </c>
      <c r="F422" s="225">
        <v>53</v>
      </c>
      <c r="G422" s="223"/>
      <c r="I422" s="253">
        <v>29</v>
      </c>
      <c r="S422" s="218">
        <v>1886.382773</v>
      </c>
      <c r="T422" s="180"/>
      <c r="Y422" s="218">
        <v>705.7169212</v>
      </c>
      <c r="Z422" s="180"/>
      <c r="AA422" s="218">
        <v>76358.975349999993</v>
      </c>
      <c r="AB422" s="180"/>
      <c r="AC422" s="252">
        <v>37.182113389999998</v>
      </c>
      <c r="AD422" s="180"/>
      <c r="AG422" s="218">
        <v>4.8693834899999997</v>
      </c>
      <c r="AH422" s="180"/>
      <c r="AM422" s="218">
        <v>99</v>
      </c>
      <c r="BS422" s="218">
        <v>50.733608199999999</v>
      </c>
      <c r="BT422" s="180"/>
      <c r="BU422" s="218">
        <v>18.980011000000001</v>
      </c>
      <c r="BV422" s="180"/>
    </row>
    <row r="423" spans="1:74">
      <c r="A423" s="154" t="s">
        <v>7758</v>
      </c>
      <c r="B423" s="224" t="s">
        <v>259</v>
      </c>
      <c r="C423" s="224" t="s">
        <v>7987</v>
      </c>
      <c r="D423" s="224"/>
      <c r="E423" s="222">
        <v>8</v>
      </c>
      <c r="F423" s="225">
        <v>4</v>
      </c>
      <c r="G423" s="223"/>
      <c r="I423" s="253">
        <v>30</v>
      </c>
      <c r="S423" s="218">
        <v>1814.5581179999999</v>
      </c>
      <c r="T423" s="180"/>
      <c r="Y423" s="218">
        <v>758.67582990000005</v>
      </c>
      <c r="Z423" s="180"/>
      <c r="AA423" s="218">
        <v>73471.241150000002</v>
      </c>
      <c r="AB423" s="180"/>
      <c r="AC423" s="252">
        <v>37.424160319999999</v>
      </c>
      <c r="AD423" s="180"/>
      <c r="AG423" s="218">
        <v>5.0937155460000003</v>
      </c>
      <c r="AH423" s="180"/>
      <c r="AM423" s="218">
        <v>101</v>
      </c>
      <c r="BS423" s="218">
        <v>48.486274700000003</v>
      </c>
      <c r="BT423" s="180"/>
      <c r="BU423" s="218">
        <v>20.272354100000001</v>
      </c>
      <c r="BV423" s="180"/>
    </row>
    <row r="424" spans="1:74">
      <c r="A424" s="154" t="s">
        <v>7758</v>
      </c>
      <c r="B424" s="224" t="s">
        <v>259</v>
      </c>
      <c r="C424" s="224" t="s">
        <v>7988</v>
      </c>
      <c r="D424" s="224"/>
      <c r="E424" s="222">
        <v>12</v>
      </c>
      <c r="F424" s="225">
        <v>40</v>
      </c>
      <c r="G424" s="223"/>
      <c r="I424" s="253">
        <v>40</v>
      </c>
      <c r="S424" s="218">
        <v>1959.618183</v>
      </c>
      <c r="T424" s="180"/>
      <c r="Y424" s="218">
        <v>761.64925059999996</v>
      </c>
      <c r="Z424" s="180"/>
      <c r="AA424" s="218">
        <v>79916.577050000007</v>
      </c>
      <c r="AB424" s="180"/>
      <c r="AC424" s="252">
        <v>39.027057229999997</v>
      </c>
      <c r="AD424" s="180"/>
      <c r="AG424" s="218">
        <v>4.8834745760000002</v>
      </c>
      <c r="AH424" s="180"/>
      <c r="AM424" s="218">
        <v>101</v>
      </c>
      <c r="BS424" s="218">
        <v>50.211784399999999</v>
      </c>
      <c r="BT424" s="180"/>
      <c r="BU424" s="218">
        <v>19.515928299999999</v>
      </c>
      <c r="BV424" s="180"/>
    </row>
    <row r="425" spans="1:74">
      <c r="A425" s="154" t="s">
        <v>7758</v>
      </c>
      <c r="B425" s="224" t="s">
        <v>259</v>
      </c>
      <c r="C425" s="224" t="s">
        <v>7989</v>
      </c>
      <c r="D425" s="224"/>
      <c r="E425" s="222">
        <v>14</v>
      </c>
      <c r="F425" s="225">
        <v>26</v>
      </c>
      <c r="G425" s="223"/>
      <c r="I425" s="253">
        <v>36</v>
      </c>
      <c r="S425" s="218">
        <v>1758.76125</v>
      </c>
      <c r="T425" s="180"/>
      <c r="Y425" s="218">
        <v>733.66235670000003</v>
      </c>
      <c r="Z425" s="180"/>
      <c r="AA425" s="218">
        <v>69070.051560000007</v>
      </c>
      <c r="AB425" s="180"/>
      <c r="AC425" s="252">
        <v>35.92259378</v>
      </c>
      <c r="AD425" s="180"/>
      <c r="AG425" s="218">
        <v>5.2008928570000004</v>
      </c>
      <c r="AH425" s="180"/>
      <c r="AM425" s="218">
        <v>101</v>
      </c>
      <c r="BS425" s="218">
        <v>48.959751099999998</v>
      </c>
      <c r="BT425" s="180"/>
      <c r="BU425" s="218">
        <v>20.423423799999998</v>
      </c>
      <c r="BV425" s="180"/>
    </row>
    <row r="426" spans="1:74">
      <c r="A426" s="154" t="s">
        <v>7868</v>
      </c>
      <c r="B426" s="224" t="s">
        <v>257</v>
      </c>
      <c r="C426" s="224" t="s">
        <v>405</v>
      </c>
      <c r="D426" s="224"/>
      <c r="E426" s="223">
        <v>3</v>
      </c>
      <c r="F426" s="225">
        <v>3</v>
      </c>
      <c r="G426" s="223"/>
      <c r="I426" s="253">
        <v>34</v>
      </c>
      <c r="S426" s="218">
        <v>1354.6781020000001</v>
      </c>
      <c r="T426" s="180"/>
      <c r="Y426" s="218">
        <v>458.68622820000002</v>
      </c>
      <c r="Z426" s="180"/>
      <c r="AA426" s="218">
        <v>62246.340020000003</v>
      </c>
      <c r="AB426" s="180"/>
      <c r="AC426" s="252">
        <v>26.735122700000002</v>
      </c>
      <c r="AD426" s="180"/>
      <c r="AG426" s="218">
        <v>4.2950513539999999</v>
      </c>
      <c r="AH426" s="180"/>
      <c r="AM426" s="218">
        <v>74</v>
      </c>
      <c r="BS426" s="218">
        <v>50.670352899999997</v>
      </c>
      <c r="BT426" s="180"/>
      <c r="BU426" s="218">
        <v>17.156690600000001</v>
      </c>
      <c r="BV426" s="180"/>
    </row>
    <row r="427" spans="1:74">
      <c r="A427" s="154" t="s">
        <v>7868</v>
      </c>
      <c r="B427" s="224" t="s">
        <v>257</v>
      </c>
      <c r="C427" s="224" t="s">
        <v>7987</v>
      </c>
      <c r="D427" s="224"/>
      <c r="E427" s="223">
        <v>8</v>
      </c>
      <c r="F427" s="225">
        <v>37</v>
      </c>
      <c r="G427" s="223"/>
      <c r="I427" s="253">
        <v>42</v>
      </c>
      <c r="S427" s="218">
        <v>1340.751616</v>
      </c>
      <c r="T427" s="180"/>
      <c r="Y427" s="218">
        <v>485.23937919999997</v>
      </c>
      <c r="Z427" s="180"/>
      <c r="AA427" s="218">
        <v>63104.555780000002</v>
      </c>
      <c r="AB427" s="180"/>
      <c r="AC427" s="252">
        <v>26.90369183</v>
      </c>
      <c r="AD427" s="180"/>
      <c r="AG427" s="218">
        <v>4.26335175</v>
      </c>
      <c r="AH427" s="180"/>
      <c r="AM427" s="218">
        <v>74</v>
      </c>
      <c r="BS427" s="218">
        <v>49.835228000000001</v>
      </c>
      <c r="BT427" s="180"/>
      <c r="BU427" s="218">
        <v>18.036163299999998</v>
      </c>
      <c r="BV427" s="180"/>
    </row>
    <row r="428" spans="1:74">
      <c r="A428" s="154" t="s">
        <v>7868</v>
      </c>
      <c r="B428" s="224" t="s">
        <v>257</v>
      </c>
      <c r="C428" s="224" t="s">
        <v>7988</v>
      </c>
      <c r="D428" s="224"/>
      <c r="E428" s="222">
        <v>11</v>
      </c>
      <c r="F428" s="225">
        <v>7</v>
      </c>
      <c r="G428" s="223"/>
      <c r="I428" s="253">
        <v>35</v>
      </c>
      <c r="S428" s="218">
        <v>1150.5264870000001</v>
      </c>
      <c r="T428" s="180"/>
      <c r="Y428" s="218">
        <v>419.53816189999998</v>
      </c>
      <c r="Z428" s="180"/>
      <c r="AA428" s="218">
        <v>51353.48992</v>
      </c>
      <c r="AB428" s="180"/>
      <c r="AC428" s="252">
        <v>22.90021656</v>
      </c>
      <c r="AD428" s="180"/>
      <c r="AG428" s="218">
        <v>4.4593301439999999</v>
      </c>
      <c r="AH428" s="180"/>
      <c r="AM428" s="218">
        <v>76</v>
      </c>
      <c r="BS428" s="218">
        <v>50.240856200000003</v>
      </c>
      <c r="BT428" s="180"/>
      <c r="BU428" s="218">
        <v>18.320270499999999</v>
      </c>
      <c r="BV428" s="180"/>
    </row>
    <row r="429" spans="1:74">
      <c r="A429" s="154" t="s">
        <v>7868</v>
      </c>
      <c r="B429" s="224" t="s">
        <v>257</v>
      </c>
      <c r="C429" s="224" t="s">
        <v>7989</v>
      </c>
      <c r="D429" s="224"/>
      <c r="E429" s="222">
        <v>14</v>
      </c>
      <c r="F429" s="225">
        <v>46</v>
      </c>
      <c r="G429" s="223"/>
      <c r="I429" s="253">
        <v>36</v>
      </c>
      <c r="S429" s="218">
        <v>1619.079774</v>
      </c>
      <c r="T429" s="180"/>
      <c r="Y429" s="218">
        <v>594.44814410000004</v>
      </c>
      <c r="Z429" s="180"/>
      <c r="AA429" s="218">
        <v>75977.128230000002</v>
      </c>
      <c r="AB429" s="180"/>
      <c r="AC429" s="252">
        <v>32.46232286</v>
      </c>
      <c r="AD429" s="180"/>
      <c r="AG429" s="218">
        <v>4.2726440989999999</v>
      </c>
      <c r="AH429" s="180"/>
      <c r="AM429" s="218">
        <v>76</v>
      </c>
      <c r="BS429" s="218">
        <v>49.875659900000002</v>
      </c>
      <c r="BT429" s="180"/>
      <c r="BU429" s="218">
        <v>18.311941099999999</v>
      </c>
      <c r="BV429" s="180"/>
    </row>
    <row r="430" spans="1:74">
      <c r="A430" s="154" t="s">
        <v>7868</v>
      </c>
      <c r="B430" s="224" t="s">
        <v>259</v>
      </c>
      <c r="C430" s="224" t="s">
        <v>405</v>
      </c>
      <c r="D430" s="224"/>
      <c r="E430" s="222">
        <v>2</v>
      </c>
      <c r="F430" s="225">
        <v>55</v>
      </c>
      <c r="G430" s="223"/>
      <c r="I430" s="253">
        <v>44</v>
      </c>
      <c r="S430" s="218">
        <v>1477.6029880000001</v>
      </c>
      <c r="T430" s="180"/>
      <c r="Y430" s="218">
        <v>562.19148540000003</v>
      </c>
      <c r="Z430" s="180"/>
      <c r="AA430" s="218">
        <v>67759.861669999998</v>
      </c>
      <c r="AB430" s="180"/>
      <c r="AC430" s="252">
        <v>29.93433735</v>
      </c>
      <c r="AD430" s="180"/>
      <c r="AG430" s="218">
        <v>4.4177093359999997</v>
      </c>
      <c r="AH430" s="180"/>
      <c r="AM430" s="218">
        <v>73</v>
      </c>
      <c r="BS430" s="218">
        <v>49.361473099999998</v>
      </c>
      <c r="BT430" s="180"/>
      <c r="BU430" s="218">
        <v>18.780822799999999</v>
      </c>
      <c r="BV430" s="180"/>
    </row>
    <row r="431" spans="1:74">
      <c r="A431" s="154" t="s">
        <v>7868</v>
      </c>
      <c r="B431" s="224" t="s">
        <v>259</v>
      </c>
      <c r="C431" s="224" t="s">
        <v>7987</v>
      </c>
      <c r="D431" s="224"/>
      <c r="E431" s="222">
        <v>6</v>
      </c>
      <c r="F431" s="225">
        <v>1</v>
      </c>
      <c r="G431" s="223"/>
      <c r="I431" s="253">
        <v>32</v>
      </c>
      <c r="S431" s="218">
        <v>1667.5402389999999</v>
      </c>
      <c r="T431" s="180"/>
      <c r="Y431" s="218">
        <v>678.66383959999996</v>
      </c>
      <c r="Z431" s="180"/>
      <c r="AA431" s="218">
        <v>76516.452480000007</v>
      </c>
      <c r="AB431" s="180"/>
      <c r="AC431" s="252">
        <v>34.246684070000001</v>
      </c>
      <c r="AD431" s="180"/>
      <c r="AG431" s="218">
        <v>4.4757281549999997</v>
      </c>
      <c r="AH431" s="180"/>
      <c r="AM431" s="218">
        <v>73</v>
      </c>
      <c r="BS431" s="218">
        <v>48.692020399999997</v>
      </c>
      <c r="BT431" s="180"/>
      <c r="BU431" s="218">
        <v>19.816921199999999</v>
      </c>
      <c r="BV431" s="180"/>
    </row>
    <row r="432" spans="1:74">
      <c r="A432" s="154" t="s">
        <v>7868</v>
      </c>
      <c r="B432" s="224" t="s">
        <v>259</v>
      </c>
      <c r="C432" s="224" t="s">
        <v>7988</v>
      </c>
      <c r="D432" s="224"/>
      <c r="E432" s="223">
        <v>12</v>
      </c>
      <c r="F432" s="225">
        <v>59</v>
      </c>
      <c r="G432" s="223"/>
      <c r="I432" s="253">
        <v>41</v>
      </c>
      <c r="S432" s="218">
        <v>1884.8093650000001</v>
      </c>
      <c r="T432" s="180"/>
      <c r="Y432" s="218">
        <v>698.24720769999999</v>
      </c>
      <c r="Z432" s="180"/>
      <c r="AA432" s="218">
        <v>85858.782609999995</v>
      </c>
      <c r="AB432" s="180"/>
      <c r="AC432" s="252">
        <v>38.113328060000001</v>
      </c>
      <c r="AD432" s="180"/>
      <c r="AG432" s="218">
        <v>4.4390715670000001</v>
      </c>
      <c r="AH432" s="180"/>
      <c r="AM432" s="218">
        <v>76</v>
      </c>
      <c r="BS432" s="218">
        <v>49.4527626</v>
      </c>
      <c r="BT432" s="180"/>
      <c r="BU432" s="218">
        <v>18.320289599999999</v>
      </c>
      <c r="BV432" s="180"/>
    </row>
    <row r="433" spans="1:74">
      <c r="A433" s="154" t="s">
        <v>7868</v>
      </c>
      <c r="B433" s="224" t="s">
        <v>259</v>
      </c>
      <c r="C433" s="224" t="s">
        <v>7989</v>
      </c>
      <c r="D433" s="224"/>
      <c r="E433" s="223">
        <v>15</v>
      </c>
      <c r="F433" s="225">
        <v>15</v>
      </c>
      <c r="G433" s="223"/>
      <c r="I433" s="253">
        <v>32</v>
      </c>
      <c r="S433" s="218">
        <v>1665.96245</v>
      </c>
      <c r="T433" s="180"/>
      <c r="Y433" s="218">
        <v>644.86656870000002</v>
      </c>
      <c r="Z433" s="180"/>
      <c r="AA433" s="218">
        <v>75149.666819999999</v>
      </c>
      <c r="AB433" s="180"/>
      <c r="AC433" s="252">
        <v>33.994483189999997</v>
      </c>
      <c r="AD433" s="180"/>
      <c r="AG433" s="218">
        <v>4.5235707119999997</v>
      </c>
      <c r="AH433" s="180"/>
      <c r="AM433" s="218">
        <v>76</v>
      </c>
      <c r="BS433" s="218">
        <v>49.006847399999998</v>
      </c>
      <c r="BT433" s="180"/>
      <c r="BU433" s="218">
        <v>18.969741800000001</v>
      </c>
      <c r="BV433" s="180"/>
    </row>
    <row r="434" spans="1:74">
      <c r="A434" s="154" t="s">
        <v>7759</v>
      </c>
      <c r="B434" s="224" t="s">
        <v>257</v>
      </c>
      <c r="C434" s="224" t="s">
        <v>405</v>
      </c>
      <c r="D434" s="224"/>
      <c r="E434" s="222">
        <v>4</v>
      </c>
      <c r="F434" s="225">
        <v>9</v>
      </c>
      <c r="G434" s="223"/>
      <c r="I434" s="253">
        <v>40</v>
      </c>
      <c r="S434" s="218">
        <v>1427.557585</v>
      </c>
      <c r="T434" s="180"/>
      <c r="Y434" s="218">
        <v>571.53448040000001</v>
      </c>
      <c r="Z434" s="180"/>
      <c r="AA434" s="218">
        <v>68584.279939999993</v>
      </c>
      <c r="AB434" s="180"/>
      <c r="AC434" s="252">
        <v>28.84089406</v>
      </c>
      <c r="AD434" s="180"/>
      <c r="AG434" s="218">
        <v>4.2051756009999997</v>
      </c>
      <c r="AH434" s="180"/>
      <c r="AM434" s="218">
        <v>92</v>
      </c>
      <c r="BS434" s="218">
        <v>49.4976883</v>
      </c>
      <c r="BT434" s="180"/>
      <c r="BU434" s="218">
        <v>19.816808699999999</v>
      </c>
      <c r="BV434" s="180"/>
    </row>
    <row r="435" spans="1:74">
      <c r="A435" s="154" t="s">
        <v>7759</v>
      </c>
      <c r="B435" s="224" t="s">
        <v>257</v>
      </c>
      <c r="C435" s="224" t="s">
        <v>7987</v>
      </c>
      <c r="D435" s="224"/>
      <c r="E435" s="222">
        <v>6</v>
      </c>
      <c r="F435" s="225">
        <v>56</v>
      </c>
      <c r="G435" s="223"/>
      <c r="I435" s="253">
        <v>43</v>
      </c>
      <c r="S435" s="218">
        <v>1072.3887540000001</v>
      </c>
      <c r="T435" s="180"/>
      <c r="Y435" s="218">
        <v>434.31503070000002</v>
      </c>
      <c r="Z435" s="180"/>
      <c r="AA435" s="218">
        <v>47872.822630000002</v>
      </c>
      <c r="AB435" s="180"/>
      <c r="AC435" s="252">
        <v>21.892772659999999</v>
      </c>
      <c r="AD435" s="180"/>
      <c r="AG435" s="218">
        <v>4.573110893</v>
      </c>
      <c r="AH435" s="180"/>
      <c r="AM435" s="218">
        <v>92</v>
      </c>
      <c r="BS435" s="218">
        <v>48.983688399999998</v>
      </c>
      <c r="BT435" s="180"/>
      <c r="BU435" s="218">
        <v>19.838283499999999</v>
      </c>
      <c r="BV435" s="180"/>
    </row>
    <row r="436" spans="1:74">
      <c r="A436" s="154" t="s">
        <v>7759</v>
      </c>
      <c r="B436" s="224" t="s">
        <v>257</v>
      </c>
      <c r="C436" s="224" t="s">
        <v>7988</v>
      </c>
      <c r="D436" s="224"/>
      <c r="E436" s="222">
        <v>9</v>
      </c>
      <c r="F436" s="225">
        <v>21</v>
      </c>
      <c r="G436" s="223"/>
      <c r="I436" s="253">
        <v>41</v>
      </c>
      <c r="S436" s="218">
        <v>1277.000888</v>
      </c>
      <c r="T436" s="180"/>
      <c r="Y436" s="218">
        <v>505.44348860000002</v>
      </c>
      <c r="Z436" s="180"/>
      <c r="AA436" s="218">
        <v>59667.410739999999</v>
      </c>
      <c r="AB436" s="180"/>
      <c r="AC436" s="252">
        <v>25.978788380000001</v>
      </c>
      <c r="AD436" s="180"/>
      <c r="AG436" s="218">
        <v>4.3539325839999998</v>
      </c>
      <c r="AH436" s="180"/>
      <c r="AM436" s="218">
        <v>92</v>
      </c>
      <c r="BS436" s="218">
        <v>49.155521399999998</v>
      </c>
      <c r="BT436" s="180"/>
      <c r="BU436" s="218">
        <v>19.456007</v>
      </c>
      <c r="BV436" s="180"/>
    </row>
    <row r="437" spans="1:74">
      <c r="A437" s="154" t="s">
        <v>7759</v>
      </c>
      <c r="B437" s="224" t="s">
        <v>257</v>
      </c>
      <c r="C437" s="224" t="s">
        <v>7989</v>
      </c>
      <c r="D437" s="224"/>
      <c r="E437" s="222">
        <v>15</v>
      </c>
      <c r="F437" s="225">
        <v>46</v>
      </c>
      <c r="G437" s="223"/>
      <c r="I437" s="253">
        <v>41</v>
      </c>
      <c r="S437" s="218">
        <v>1401.9818560000001</v>
      </c>
      <c r="T437" s="180"/>
      <c r="Y437" s="218">
        <v>556.22529919999999</v>
      </c>
      <c r="Z437" s="180"/>
      <c r="AA437" s="218">
        <v>64496.610639999999</v>
      </c>
      <c r="AB437" s="180"/>
      <c r="AC437" s="252">
        <v>28.333080110000001</v>
      </c>
      <c r="AD437" s="180"/>
      <c r="AG437" s="218">
        <v>4.3929564409999999</v>
      </c>
      <c r="AH437" s="180"/>
      <c r="AM437" s="218">
        <v>92</v>
      </c>
      <c r="BS437" s="218">
        <v>49.482154800000004</v>
      </c>
      <c r="BT437" s="180"/>
      <c r="BU437" s="218">
        <v>19.631656599999999</v>
      </c>
      <c r="BV437" s="180"/>
    </row>
    <row r="438" spans="1:74">
      <c r="A438" s="154" t="s">
        <v>7759</v>
      </c>
      <c r="B438" s="224" t="s">
        <v>259</v>
      </c>
      <c r="C438" s="224" t="s">
        <v>405</v>
      </c>
      <c r="D438" s="224"/>
      <c r="E438" s="223">
        <v>4</v>
      </c>
      <c r="F438" s="225">
        <v>36</v>
      </c>
      <c r="G438" s="223"/>
      <c r="I438" s="253">
        <v>44</v>
      </c>
      <c r="S438" s="218">
        <v>1571.6969489999999</v>
      </c>
      <c r="T438" s="180"/>
      <c r="Y438" s="218">
        <v>654.62699859999998</v>
      </c>
      <c r="Z438" s="180"/>
      <c r="AA438" s="218">
        <v>72857.029760000005</v>
      </c>
      <c r="AB438" s="180"/>
      <c r="AC438" s="252">
        <v>32.342094709999998</v>
      </c>
      <c r="AD438" s="180"/>
      <c r="AG438" s="218">
        <v>4.439117929</v>
      </c>
      <c r="AH438" s="180"/>
      <c r="AM438" s="218">
        <v>94</v>
      </c>
      <c r="BS438" s="218">
        <v>48.596015899999998</v>
      </c>
      <c r="BT438" s="180"/>
      <c r="BU438" s="218">
        <v>20.2407112</v>
      </c>
      <c r="BV438" s="180"/>
    </row>
    <row r="439" spans="1:74">
      <c r="A439" s="154" t="s">
        <v>7759</v>
      </c>
      <c r="B439" s="224" t="s">
        <v>259</v>
      </c>
      <c r="C439" s="224" t="s">
        <v>7987</v>
      </c>
      <c r="D439" s="224"/>
      <c r="E439" s="223">
        <v>6</v>
      </c>
      <c r="F439" s="225">
        <v>8</v>
      </c>
      <c r="G439" s="223"/>
      <c r="I439" s="253">
        <v>38</v>
      </c>
      <c r="S439" s="218">
        <v>1479.8254629999999</v>
      </c>
      <c r="T439" s="180"/>
      <c r="Y439" s="218">
        <v>627.60690160000001</v>
      </c>
      <c r="Z439" s="180"/>
      <c r="AA439" s="218">
        <v>66120.638309999995</v>
      </c>
      <c r="AB439" s="180"/>
      <c r="AC439" s="252">
        <v>30.120172199999999</v>
      </c>
      <c r="AD439" s="180"/>
      <c r="AG439" s="218">
        <v>4.5553359679999996</v>
      </c>
      <c r="AH439" s="180"/>
      <c r="AM439" s="218">
        <v>92</v>
      </c>
      <c r="BS439" s="218">
        <v>49.1307106</v>
      </c>
      <c r="BT439" s="180"/>
      <c r="BU439" s="218">
        <v>20.836763399999999</v>
      </c>
      <c r="BV439" s="180"/>
    </row>
    <row r="440" spans="1:74">
      <c r="A440" s="154" t="s">
        <v>7759</v>
      </c>
      <c r="B440" s="224" t="s">
        <v>259</v>
      </c>
      <c r="C440" s="224" t="s">
        <v>7988</v>
      </c>
      <c r="D440" s="224"/>
      <c r="E440" s="222">
        <v>12</v>
      </c>
      <c r="F440" s="225">
        <v>64</v>
      </c>
      <c r="G440" s="223"/>
      <c r="I440" s="253">
        <v>39</v>
      </c>
      <c r="S440" s="218">
        <v>1654.947811</v>
      </c>
      <c r="T440" s="180"/>
      <c r="Y440" s="218">
        <v>671.85663829999999</v>
      </c>
      <c r="Z440" s="180"/>
      <c r="AA440" s="218">
        <v>78184.629459999996</v>
      </c>
      <c r="AB440" s="180"/>
      <c r="AC440" s="252">
        <v>33.813560240000001</v>
      </c>
      <c r="AD440" s="180"/>
      <c r="AG440" s="218">
        <v>4.3248347499999999</v>
      </c>
      <c r="AH440" s="180"/>
      <c r="AM440" s="218">
        <v>94</v>
      </c>
      <c r="BS440" s="218">
        <v>48.943317399999998</v>
      </c>
      <c r="BT440" s="180"/>
      <c r="BU440" s="218">
        <v>19.8694439</v>
      </c>
      <c r="BV440" s="180"/>
    </row>
    <row r="441" spans="1:74">
      <c r="A441" s="154" t="s">
        <v>7759</v>
      </c>
      <c r="B441" s="224" t="s">
        <v>259</v>
      </c>
      <c r="C441" s="224" t="s">
        <v>7989</v>
      </c>
      <c r="D441" s="224"/>
      <c r="E441" s="222">
        <v>13</v>
      </c>
      <c r="F441" s="225">
        <v>2</v>
      </c>
      <c r="G441" s="223"/>
      <c r="I441" s="253">
        <v>33</v>
      </c>
      <c r="S441" s="218">
        <v>1466.1281839999999</v>
      </c>
      <c r="T441" s="180"/>
      <c r="Y441" s="218">
        <v>628.76343180000003</v>
      </c>
      <c r="Z441" s="180"/>
      <c r="AA441" s="218">
        <v>69181.409299999999</v>
      </c>
      <c r="AB441" s="180"/>
      <c r="AC441" s="252">
        <v>30.505707149999999</v>
      </c>
      <c r="AD441" s="180"/>
      <c r="AG441" s="218">
        <v>4.4095238099999996</v>
      </c>
      <c r="AH441" s="180"/>
      <c r="AM441" s="218">
        <v>92</v>
      </c>
      <c r="BS441" s="218">
        <v>48.060783399999998</v>
      </c>
      <c r="BT441" s="180"/>
      <c r="BU441" s="218">
        <v>20.6113377</v>
      </c>
      <c r="BV441" s="180"/>
    </row>
    <row r="442" spans="1:74">
      <c r="A442" s="154" t="s">
        <v>7760</v>
      </c>
      <c r="B442" s="224" t="s">
        <v>257</v>
      </c>
      <c r="C442" s="224" t="s">
        <v>405</v>
      </c>
      <c r="D442" s="224"/>
      <c r="E442" s="222">
        <v>1</v>
      </c>
      <c r="F442" s="225">
        <v>29</v>
      </c>
      <c r="G442" s="223"/>
      <c r="I442" s="253">
        <v>34</v>
      </c>
      <c r="S442" s="218">
        <v>1650.208848</v>
      </c>
      <c r="T442" s="180"/>
      <c r="Y442" s="218">
        <v>573.4872421</v>
      </c>
      <c r="Z442" s="180"/>
      <c r="AA442" s="218">
        <v>64455.693189999998</v>
      </c>
      <c r="AB442" s="180"/>
      <c r="AC442" s="252">
        <v>32.750460320000002</v>
      </c>
      <c r="AD442" s="180"/>
      <c r="AG442" s="218">
        <v>5.0810810809999998</v>
      </c>
      <c r="AH442" s="180"/>
      <c r="AM442" s="218">
        <v>92</v>
      </c>
      <c r="BS442" s="218">
        <v>50.387348199999998</v>
      </c>
      <c r="BT442" s="180"/>
      <c r="BU442" s="218">
        <v>17.510814700000001</v>
      </c>
      <c r="BV442" s="180"/>
    </row>
    <row r="443" spans="1:74">
      <c r="A443" s="154" t="s">
        <v>7760</v>
      </c>
      <c r="B443" s="224" t="s">
        <v>257</v>
      </c>
      <c r="C443" s="224" t="s">
        <v>7987</v>
      </c>
      <c r="D443" s="224"/>
      <c r="E443" s="222">
        <v>5</v>
      </c>
      <c r="F443" s="225">
        <v>33</v>
      </c>
      <c r="G443" s="223"/>
      <c r="I443" s="253">
        <v>36</v>
      </c>
      <c r="S443" s="218">
        <v>1546.9303640000001</v>
      </c>
      <c r="T443" s="180"/>
      <c r="Y443" s="218">
        <v>537.69204030000003</v>
      </c>
      <c r="Z443" s="180"/>
      <c r="AA443" s="218">
        <v>59199.786240000001</v>
      </c>
      <c r="AB443" s="180"/>
      <c r="AC443" s="252">
        <v>30.087267870000002</v>
      </c>
      <c r="AD443" s="180"/>
      <c r="AG443" s="218">
        <v>5.0823271129999998</v>
      </c>
      <c r="AH443" s="180"/>
      <c r="AM443" s="218">
        <v>92</v>
      </c>
      <c r="BS443" s="218">
        <v>51.414783499999999</v>
      </c>
      <c r="BT443" s="180"/>
      <c r="BU443" s="218">
        <v>17.871082300000001</v>
      </c>
      <c r="BV443" s="180"/>
    </row>
    <row r="444" spans="1:74">
      <c r="A444" s="154" t="s">
        <v>7760</v>
      </c>
      <c r="B444" s="224" t="s">
        <v>257</v>
      </c>
      <c r="C444" s="224" t="s">
        <v>7988</v>
      </c>
      <c r="D444" s="224"/>
      <c r="E444" s="223">
        <v>10</v>
      </c>
      <c r="F444" s="225">
        <v>28</v>
      </c>
      <c r="G444" s="223"/>
      <c r="I444" s="253">
        <v>39</v>
      </c>
      <c r="S444" s="218">
        <v>1626.0557369999999</v>
      </c>
      <c r="T444" s="180"/>
      <c r="Y444" s="218">
        <v>518.83993989999999</v>
      </c>
      <c r="Z444" s="180"/>
      <c r="AA444" s="218">
        <v>60623.414479999999</v>
      </c>
      <c r="AB444" s="180"/>
      <c r="AC444" s="252">
        <v>31.55647213</v>
      </c>
      <c r="AD444" s="180"/>
      <c r="AG444" s="218">
        <v>5.2053274140000001</v>
      </c>
      <c r="AH444" s="180"/>
      <c r="AM444" s="218">
        <v>92</v>
      </c>
      <c r="BS444" s="218">
        <v>51.528438600000001</v>
      </c>
      <c r="BT444" s="180"/>
      <c r="BU444" s="218">
        <v>16.441633199999998</v>
      </c>
      <c r="BV444" s="180"/>
    </row>
    <row r="445" spans="1:74">
      <c r="A445" s="154" t="s">
        <v>7760</v>
      </c>
      <c r="B445" s="224" t="s">
        <v>257</v>
      </c>
      <c r="C445" s="224" t="s">
        <v>7989</v>
      </c>
      <c r="D445" s="224"/>
      <c r="E445" s="223">
        <v>16</v>
      </c>
      <c r="F445" s="225">
        <v>47</v>
      </c>
      <c r="G445" s="223"/>
      <c r="I445" s="253">
        <v>30</v>
      </c>
      <c r="S445" s="218">
        <v>1785.2677570000001</v>
      </c>
      <c r="T445" s="180"/>
      <c r="Y445" s="218">
        <v>632.75914809999995</v>
      </c>
      <c r="Z445" s="180"/>
      <c r="AA445" s="218">
        <v>69683.220679999999</v>
      </c>
      <c r="AB445" s="180"/>
      <c r="AC445" s="252">
        <v>35.561948309999998</v>
      </c>
      <c r="AD445" s="180"/>
      <c r="AG445" s="218">
        <v>5.103373232</v>
      </c>
      <c r="AH445" s="180"/>
      <c r="AM445" s="218">
        <v>92</v>
      </c>
      <c r="BS445" s="218">
        <v>50.201629599999997</v>
      </c>
      <c r="BT445" s="180"/>
      <c r="BU445" s="218">
        <v>17.793151900000002</v>
      </c>
      <c r="BV445" s="180"/>
    </row>
    <row r="446" spans="1:74">
      <c r="A446" s="154" t="s">
        <v>7760</v>
      </c>
      <c r="B446" s="224" t="s">
        <v>259</v>
      </c>
      <c r="C446" s="224" t="s">
        <v>405</v>
      </c>
      <c r="D446" s="224"/>
      <c r="E446" s="222">
        <v>3</v>
      </c>
      <c r="F446" s="225">
        <v>46</v>
      </c>
      <c r="G446" s="223"/>
      <c r="I446" s="253">
        <v>37</v>
      </c>
      <c r="S446" s="218">
        <v>1862.1222459999999</v>
      </c>
      <c r="T446" s="180"/>
      <c r="Y446" s="218">
        <v>679.00603590000003</v>
      </c>
      <c r="Z446" s="180"/>
      <c r="AA446" s="218">
        <v>72652.98315</v>
      </c>
      <c r="AB446" s="180"/>
      <c r="AC446" s="252">
        <v>37.037227280000003</v>
      </c>
      <c r="AD446" s="180"/>
      <c r="AG446" s="218">
        <v>5.0978260869999996</v>
      </c>
      <c r="AH446" s="180"/>
      <c r="AM446" s="218">
        <v>92</v>
      </c>
      <c r="BS446" s="218">
        <v>50.277042399999999</v>
      </c>
      <c r="BT446" s="180"/>
      <c r="BU446" s="218">
        <v>18.333068799999999</v>
      </c>
      <c r="BV446" s="180"/>
    </row>
    <row r="447" spans="1:74">
      <c r="A447" s="154" t="s">
        <v>7760</v>
      </c>
      <c r="B447" s="224" t="s">
        <v>259</v>
      </c>
      <c r="C447" s="224" t="s">
        <v>7987</v>
      </c>
      <c r="D447" s="224"/>
      <c r="E447" s="222">
        <v>5</v>
      </c>
      <c r="F447" s="225">
        <v>8</v>
      </c>
      <c r="G447" s="223"/>
      <c r="I447" s="253">
        <v>27</v>
      </c>
      <c r="S447" s="218">
        <v>2004.123992</v>
      </c>
      <c r="T447" s="180"/>
      <c r="Y447" s="218">
        <v>769.60479269999996</v>
      </c>
      <c r="Z447" s="180"/>
      <c r="AA447" s="218">
        <v>79898.074670000002</v>
      </c>
      <c r="AB447" s="180"/>
      <c r="AC447" s="252">
        <v>40.601089090000002</v>
      </c>
      <c r="AD447" s="180"/>
      <c r="AG447" s="218">
        <v>5.081610446</v>
      </c>
      <c r="AH447" s="180"/>
      <c r="AM447" s="218">
        <v>92</v>
      </c>
      <c r="BS447" s="218">
        <v>49.361335799999999</v>
      </c>
      <c r="BT447" s="180"/>
      <c r="BU447" s="218">
        <v>18.955274599999999</v>
      </c>
      <c r="BV447" s="180"/>
    </row>
    <row r="448" spans="1:74">
      <c r="A448" s="154" t="s">
        <v>7760</v>
      </c>
      <c r="B448" s="224" t="s">
        <v>259</v>
      </c>
      <c r="C448" s="224" t="s">
        <v>7988</v>
      </c>
      <c r="D448" s="224"/>
      <c r="E448" s="222">
        <v>11</v>
      </c>
      <c r="F448" s="225">
        <v>55</v>
      </c>
      <c r="G448" s="223"/>
      <c r="I448" s="253">
        <v>37</v>
      </c>
      <c r="S448" s="218">
        <v>1933.6407489999999</v>
      </c>
      <c r="T448" s="180"/>
      <c r="Y448" s="218">
        <v>699.31850229999998</v>
      </c>
      <c r="Z448" s="180"/>
      <c r="AA448" s="218">
        <v>76884.458169999998</v>
      </c>
      <c r="AB448" s="180"/>
      <c r="AC448" s="252">
        <v>38.190972690000002</v>
      </c>
      <c r="AD448" s="180"/>
      <c r="AG448" s="218">
        <v>4.9673202610000002</v>
      </c>
      <c r="AH448" s="180"/>
      <c r="AM448" s="218">
        <v>92</v>
      </c>
      <c r="BS448" s="218">
        <v>50.630832699999999</v>
      </c>
      <c r="BT448" s="180"/>
      <c r="BU448" s="218">
        <v>18.311094300000001</v>
      </c>
      <c r="BV448" s="180"/>
    </row>
    <row r="449" spans="1:74">
      <c r="A449" s="154" t="s">
        <v>7760</v>
      </c>
      <c r="B449" s="224" t="s">
        <v>259</v>
      </c>
      <c r="C449" s="224" t="s">
        <v>7989</v>
      </c>
      <c r="D449" s="224"/>
      <c r="E449" s="222">
        <v>16</v>
      </c>
      <c r="F449" s="225">
        <v>16</v>
      </c>
      <c r="G449" s="223"/>
      <c r="I449" s="253">
        <v>31</v>
      </c>
      <c r="S449" s="218">
        <v>1961.9680249999999</v>
      </c>
      <c r="T449" s="180"/>
      <c r="Y449" s="218">
        <v>727.09588259999998</v>
      </c>
      <c r="Z449" s="180"/>
      <c r="AA449" s="218">
        <v>75318.053750000006</v>
      </c>
      <c r="AB449" s="180"/>
      <c r="AC449" s="252">
        <v>39.038325309999998</v>
      </c>
      <c r="AD449" s="180"/>
      <c r="AG449" s="218">
        <v>5.1831298559999999</v>
      </c>
      <c r="AH449" s="180"/>
      <c r="AM449" s="218">
        <v>92</v>
      </c>
      <c r="BS449" s="218">
        <v>50.257484400000003</v>
      </c>
      <c r="BT449" s="180"/>
      <c r="BU449" s="218">
        <v>18.6251812</v>
      </c>
      <c r="BV449" s="180"/>
    </row>
    <row r="450" spans="1:74">
      <c r="A450" s="154" t="s">
        <v>7761</v>
      </c>
      <c r="B450" s="224" t="s">
        <v>257</v>
      </c>
      <c r="C450" s="224" t="s">
        <v>405</v>
      </c>
      <c r="D450" s="224"/>
      <c r="E450" s="223">
        <v>2</v>
      </c>
      <c r="F450" s="225">
        <v>20</v>
      </c>
      <c r="G450" s="223"/>
      <c r="I450" s="253" t="s">
        <v>7956</v>
      </c>
      <c r="S450" s="218" t="s">
        <v>7956</v>
      </c>
      <c r="T450" s="180"/>
      <c r="Y450" s="218" t="s">
        <v>7956</v>
      </c>
      <c r="Z450" s="180"/>
      <c r="AA450" s="218" t="s">
        <v>7956</v>
      </c>
      <c r="AB450" s="180"/>
      <c r="AC450" s="252" t="s">
        <v>7956</v>
      </c>
      <c r="AD450" s="180"/>
      <c r="AG450" s="218" t="s">
        <v>7956</v>
      </c>
      <c r="AH450" s="180"/>
      <c r="AM450" s="218">
        <v>99</v>
      </c>
      <c r="BS450" s="218" t="s">
        <v>7956</v>
      </c>
      <c r="BT450" s="180"/>
      <c r="BU450" s="218" t="s">
        <v>7956</v>
      </c>
      <c r="BV450" s="180"/>
    </row>
    <row r="451" spans="1:74">
      <c r="A451" s="154" t="s">
        <v>7761</v>
      </c>
      <c r="B451" s="224" t="s">
        <v>257</v>
      </c>
      <c r="C451" s="224" t="s">
        <v>7987</v>
      </c>
      <c r="D451" s="224"/>
      <c r="E451" s="223">
        <v>7</v>
      </c>
      <c r="F451" s="225">
        <v>41</v>
      </c>
      <c r="G451" s="223"/>
      <c r="I451" s="253">
        <v>40</v>
      </c>
      <c r="S451" s="218">
        <v>1642.2662</v>
      </c>
      <c r="T451" s="180"/>
      <c r="Y451" s="218">
        <v>636.74416840000004</v>
      </c>
      <c r="Z451" s="180"/>
      <c r="AA451" s="218">
        <v>77497.052110000004</v>
      </c>
      <c r="AB451" s="180"/>
      <c r="AC451" s="252">
        <v>32.828119970000003</v>
      </c>
      <c r="AD451" s="180"/>
      <c r="AG451" s="218">
        <v>4.2360475749999997</v>
      </c>
      <c r="AH451" s="180"/>
      <c r="AM451" s="218">
        <v>99</v>
      </c>
      <c r="BS451" s="218">
        <v>50.026203199999998</v>
      </c>
      <c r="BT451" s="180"/>
      <c r="BU451" s="218">
        <v>19.396303199999998</v>
      </c>
      <c r="BV451" s="180"/>
    </row>
    <row r="452" spans="1:74">
      <c r="A452" s="154" t="s">
        <v>7761</v>
      </c>
      <c r="B452" s="224" t="s">
        <v>257</v>
      </c>
      <c r="C452" s="224" t="s">
        <v>7988</v>
      </c>
      <c r="D452" s="224"/>
      <c r="E452" s="222">
        <v>10</v>
      </c>
      <c r="F452" s="225">
        <v>17</v>
      </c>
      <c r="G452" s="223"/>
      <c r="I452" s="253">
        <v>36</v>
      </c>
      <c r="S452" s="218">
        <v>1034.891192</v>
      </c>
      <c r="T452" s="180"/>
      <c r="Y452" s="218">
        <v>399.54131599999999</v>
      </c>
      <c r="Z452" s="180"/>
      <c r="AA452" s="218">
        <v>45648.396540000002</v>
      </c>
      <c r="AB452" s="180"/>
      <c r="AC452" s="252">
        <v>20.566368669999999</v>
      </c>
      <c r="AD452" s="180"/>
      <c r="AG452" s="218">
        <v>4.5053868760000002</v>
      </c>
      <c r="AH452" s="180"/>
      <c r="AM452" s="218">
        <v>94</v>
      </c>
      <c r="BS452" s="218">
        <v>50.3195877</v>
      </c>
      <c r="BT452" s="180"/>
      <c r="BU452" s="218">
        <v>19.426925700000002</v>
      </c>
      <c r="BV452" s="180"/>
    </row>
    <row r="453" spans="1:74">
      <c r="A453" s="154" t="s">
        <v>7761</v>
      </c>
      <c r="B453" s="224" t="s">
        <v>257</v>
      </c>
      <c r="C453" s="224" t="s">
        <v>7989</v>
      </c>
      <c r="D453" s="224"/>
      <c r="E453" s="222">
        <v>13</v>
      </c>
      <c r="F453" s="225">
        <v>44</v>
      </c>
      <c r="G453" s="223"/>
      <c r="I453" s="253">
        <v>40</v>
      </c>
      <c r="S453" s="218">
        <v>1396.49936</v>
      </c>
      <c r="T453" s="180"/>
      <c r="Y453" s="218">
        <v>527.1719544</v>
      </c>
      <c r="Z453" s="180"/>
      <c r="AA453" s="218">
        <v>64676.182379999998</v>
      </c>
      <c r="AB453" s="180"/>
      <c r="AC453" s="252">
        <v>27.6338309</v>
      </c>
      <c r="AD453" s="180"/>
      <c r="AG453" s="218">
        <v>4.2726440989999999</v>
      </c>
      <c r="AH453" s="180"/>
      <c r="AM453" s="218">
        <v>99</v>
      </c>
      <c r="BS453" s="218">
        <v>50.5358582</v>
      </c>
      <c r="BT453" s="180"/>
      <c r="BU453" s="218">
        <v>19.077049299999999</v>
      </c>
      <c r="BV453" s="180"/>
    </row>
    <row r="454" spans="1:74">
      <c r="A454" s="154" t="s">
        <v>7761</v>
      </c>
      <c r="B454" s="224" t="s">
        <v>259</v>
      </c>
      <c r="C454" s="224" t="s">
        <v>405</v>
      </c>
      <c r="D454" s="224"/>
      <c r="E454" s="222">
        <v>2</v>
      </c>
      <c r="F454" s="225">
        <v>48</v>
      </c>
      <c r="G454" s="223"/>
      <c r="I454" s="253">
        <v>41</v>
      </c>
      <c r="S454" s="218">
        <v>1338.28413</v>
      </c>
      <c r="T454" s="180"/>
      <c r="Y454" s="218">
        <v>523.59429560000001</v>
      </c>
      <c r="Z454" s="180"/>
      <c r="AA454" s="218">
        <v>62370.922610000001</v>
      </c>
      <c r="AB454" s="180"/>
      <c r="AC454" s="252">
        <v>27.135785290000001</v>
      </c>
      <c r="AD454" s="180"/>
      <c r="AG454" s="218">
        <v>4.3507109000000002</v>
      </c>
      <c r="AH454" s="180"/>
      <c r="AM454" s="218">
        <v>99</v>
      </c>
      <c r="BS454" s="218">
        <v>49.318054199999999</v>
      </c>
      <c r="BT454" s="180"/>
      <c r="BU454" s="218">
        <v>19.2953434</v>
      </c>
      <c r="BV454" s="180"/>
    </row>
    <row r="455" spans="1:74">
      <c r="A455" s="154" t="s">
        <v>7761</v>
      </c>
      <c r="B455" s="224" t="s">
        <v>259</v>
      </c>
      <c r="C455" s="224" t="s">
        <v>7987</v>
      </c>
      <c r="D455" s="224"/>
      <c r="E455" s="222">
        <v>6</v>
      </c>
      <c r="F455" s="225">
        <v>22</v>
      </c>
      <c r="G455" s="223"/>
      <c r="I455" s="253">
        <v>33</v>
      </c>
      <c r="S455" s="218">
        <v>1339.403082</v>
      </c>
      <c r="T455" s="180"/>
      <c r="Y455" s="218">
        <v>530.23328570000001</v>
      </c>
      <c r="Z455" s="180"/>
      <c r="AA455" s="218">
        <v>59706.64892</v>
      </c>
      <c r="AB455" s="180"/>
      <c r="AC455" s="252">
        <v>27.075591039999999</v>
      </c>
      <c r="AD455" s="180"/>
      <c r="AG455" s="218">
        <v>4.5347698330000004</v>
      </c>
      <c r="AH455" s="180"/>
      <c r="AM455" s="218">
        <v>99</v>
      </c>
      <c r="BS455" s="218">
        <v>49.469024699999999</v>
      </c>
      <c r="BT455" s="180"/>
      <c r="BU455" s="218">
        <v>19.583442699999999</v>
      </c>
      <c r="BV455" s="180"/>
    </row>
    <row r="456" spans="1:74">
      <c r="A456" s="154" t="s">
        <v>7761</v>
      </c>
      <c r="B456" s="224" t="s">
        <v>259</v>
      </c>
      <c r="C456" s="224" t="s">
        <v>7988</v>
      </c>
      <c r="D456" s="224"/>
      <c r="E456" s="223">
        <v>10</v>
      </c>
      <c r="F456" s="225">
        <v>61</v>
      </c>
      <c r="G456" s="223"/>
      <c r="I456" s="253">
        <v>44</v>
      </c>
      <c r="S456" s="218">
        <v>1415.741796</v>
      </c>
      <c r="T456" s="180"/>
      <c r="Y456" s="218">
        <v>591.32767390000004</v>
      </c>
      <c r="Z456" s="180"/>
      <c r="AA456" s="218">
        <v>65009.9761</v>
      </c>
      <c r="AB456" s="180"/>
      <c r="AC456" s="252">
        <v>28.777912350000001</v>
      </c>
      <c r="AD456" s="180"/>
      <c r="AG456" s="218">
        <v>4.4266917289999999</v>
      </c>
      <c r="AH456" s="180"/>
      <c r="AM456" s="218">
        <v>99</v>
      </c>
      <c r="BS456" s="218">
        <v>49.195430799999997</v>
      </c>
      <c r="BT456" s="180"/>
      <c r="BU456" s="218">
        <v>20.547969800000001</v>
      </c>
      <c r="BV456" s="180"/>
    </row>
    <row r="457" spans="1:74">
      <c r="A457" s="154" t="s">
        <v>7761</v>
      </c>
      <c r="B457" s="224" t="s">
        <v>259</v>
      </c>
      <c r="C457" s="224" t="s">
        <v>7989</v>
      </c>
      <c r="D457" s="224"/>
      <c r="E457" s="223">
        <v>15</v>
      </c>
      <c r="F457" s="225">
        <v>31</v>
      </c>
      <c r="G457" s="223"/>
      <c r="I457" s="253">
        <v>40</v>
      </c>
      <c r="S457" s="218">
        <v>1592.3738049999999</v>
      </c>
      <c r="T457" s="180"/>
      <c r="Y457" s="218">
        <v>669.09420690000002</v>
      </c>
      <c r="Z457" s="180"/>
      <c r="AA457" s="218">
        <v>77770</v>
      </c>
      <c r="AB457" s="180"/>
      <c r="AC457" s="252">
        <v>32.479999999999997</v>
      </c>
      <c r="AD457" s="180"/>
      <c r="AG457" s="218">
        <v>4.1764176419999997</v>
      </c>
      <c r="AH457" s="180"/>
      <c r="AM457" s="218">
        <v>99</v>
      </c>
      <c r="BS457" s="218">
        <v>49.026287099999998</v>
      </c>
      <c r="BT457" s="180"/>
      <c r="BU457" s="218">
        <v>20.6001911</v>
      </c>
      <c r="BV457" s="180"/>
    </row>
    <row r="458" spans="1:74">
      <c r="A458" s="154" t="s">
        <v>7848</v>
      </c>
      <c r="B458" s="224" t="s">
        <v>257</v>
      </c>
      <c r="C458" s="224" t="s">
        <v>405</v>
      </c>
      <c r="D458" s="224"/>
      <c r="E458" s="222">
        <v>1</v>
      </c>
      <c r="F458" s="225">
        <v>30</v>
      </c>
      <c r="G458" s="223"/>
      <c r="I458" s="253">
        <v>37</v>
      </c>
      <c r="S458" s="218">
        <v>1521.739435</v>
      </c>
      <c r="T458" s="180"/>
      <c r="Y458" s="218">
        <v>568.54930630000001</v>
      </c>
      <c r="Z458" s="180"/>
      <c r="AA458" s="218">
        <v>68951.157510000005</v>
      </c>
      <c r="AB458" s="180"/>
      <c r="AC458" s="252">
        <v>30.593343229999999</v>
      </c>
      <c r="AD458" s="180"/>
      <c r="AG458" s="218">
        <v>4.4369586139999999</v>
      </c>
      <c r="AH458" s="180"/>
      <c r="AM458" s="218">
        <v>87</v>
      </c>
      <c r="BS458" s="218">
        <v>49.740867600000001</v>
      </c>
      <c r="BT458" s="180"/>
      <c r="BU458" s="218">
        <v>18.5840855</v>
      </c>
      <c r="BV458" s="180"/>
    </row>
    <row r="459" spans="1:74">
      <c r="A459" s="154" t="s">
        <v>7848</v>
      </c>
      <c r="B459" s="224" t="s">
        <v>257</v>
      </c>
      <c r="C459" s="224" t="s">
        <v>7987</v>
      </c>
      <c r="D459" s="224"/>
      <c r="E459" s="222">
        <v>8</v>
      </c>
      <c r="F459" s="225">
        <v>53</v>
      </c>
      <c r="G459" s="223"/>
      <c r="I459" s="253" t="s">
        <v>7956</v>
      </c>
      <c r="S459" s="218" t="s">
        <v>7956</v>
      </c>
      <c r="T459" s="180"/>
      <c r="Y459" s="218" t="s">
        <v>7956</v>
      </c>
      <c r="Z459" s="180"/>
      <c r="AA459" s="218" t="s">
        <v>7956</v>
      </c>
      <c r="AB459" s="180"/>
      <c r="AC459" s="252" t="s">
        <v>7956</v>
      </c>
      <c r="AD459" s="180"/>
      <c r="AG459" s="218" t="s">
        <v>7956</v>
      </c>
      <c r="AH459" s="180"/>
      <c r="AM459" s="218">
        <v>87</v>
      </c>
      <c r="BS459" s="218" t="s">
        <v>7956</v>
      </c>
      <c r="BT459" s="180"/>
      <c r="BU459" s="218" t="s">
        <v>7956</v>
      </c>
      <c r="BV459" s="180"/>
    </row>
    <row r="460" spans="1:74">
      <c r="A460" s="154" t="s">
        <v>7848</v>
      </c>
      <c r="B460" s="224" t="s">
        <v>257</v>
      </c>
      <c r="C460" s="224" t="s">
        <v>7988</v>
      </c>
      <c r="D460" s="224"/>
      <c r="E460" s="222">
        <v>9</v>
      </c>
      <c r="F460" s="225">
        <v>9</v>
      </c>
      <c r="G460" s="223"/>
      <c r="I460" s="253">
        <v>35</v>
      </c>
      <c r="S460" s="218">
        <v>1270.744629</v>
      </c>
      <c r="T460" s="180"/>
      <c r="Y460" s="218">
        <v>480.12661379999997</v>
      </c>
      <c r="Z460" s="180"/>
      <c r="AA460" s="218">
        <v>54635.34476</v>
      </c>
      <c r="AB460" s="180"/>
      <c r="AC460" s="252">
        <v>25.350799970000001</v>
      </c>
      <c r="AD460" s="180"/>
      <c r="AG460" s="218">
        <v>4.6399999999999997</v>
      </c>
      <c r="AH460" s="180"/>
      <c r="AM460" s="218">
        <v>87</v>
      </c>
      <c r="BS460" s="218">
        <v>50.126411400000002</v>
      </c>
      <c r="BT460" s="180"/>
      <c r="BU460" s="218">
        <v>18.939308199999999</v>
      </c>
      <c r="BV460" s="180"/>
    </row>
    <row r="461" spans="1:74">
      <c r="A461" s="154" t="s">
        <v>7848</v>
      </c>
      <c r="B461" s="224" t="s">
        <v>257</v>
      </c>
      <c r="C461" s="224" t="s">
        <v>7989</v>
      </c>
      <c r="D461" s="224"/>
      <c r="E461" s="222">
        <v>15</v>
      </c>
      <c r="F461" s="225">
        <v>47</v>
      </c>
      <c r="G461" s="223"/>
      <c r="I461" s="253">
        <v>40</v>
      </c>
      <c r="S461" s="218">
        <v>1787.3553690000001</v>
      </c>
      <c r="T461" s="180"/>
      <c r="Y461" s="218">
        <v>668.00825120000002</v>
      </c>
      <c r="Z461" s="180"/>
      <c r="AA461" s="218">
        <v>77939.07415</v>
      </c>
      <c r="AB461" s="180"/>
      <c r="AC461" s="252">
        <v>35.795374580000001</v>
      </c>
      <c r="AD461" s="180"/>
      <c r="AG461" s="218">
        <v>4.5927379779999997</v>
      </c>
      <c r="AH461" s="180"/>
      <c r="AM461" s="218">
        <v>87</v>
      </c>
      <c r="BS461" s="218">
        <v>49.932578999999997</v>
      </c>
      <c r="BT461" s="180"/>
      <c r="BU461" s="218">
        <v>18.661859499999998</v>
      </c>
      <c r="BV461" s="180"/>
    </row>
    <row r="462" spans="1:74">
      <c r="A462" s="154" t="s">
        <v>7848</v>
      </c>
      <c r="B462" s="224" t="s">
        <v>259</v>
      </c>
      <c r="C462" s="224" t="s">
        <v>405</v>
      </c>
      <c r="D462" s="224"/>
      <c r="E462" s="223">
        <v>2</v>
      </c>
      <c r="F462" s="225">
        <v>50</v>
      </c>
      <c r="G462" s="223"/>
      <c r="I462" s="253">
        <v>39</v>
      </c>
      <c r="S462" s="218">
        <v>1566.8977890000001</v>
      </c>
      <c r="T462" s="180"/>
      <c r="Y462" s="218">
        <v>643.42894709999996</v>
      </c>
      <c r="Z462" s="180"/>
      <c r="AA462" s="218">
        <v>73506.811130000002</v>
      </c>
      <c r="AB462" s="180"/>
      <c r="AC462" s="252">
        <v>32.276361829999999</v>
      </c>
      <c r="AD462" s="180"/>
      <c r="AG462" s="218">
        <v>4.3909348440000002</v>
      </c>
      <c r="AH462" s="180"/>
      <c r="AM462" s="218">
        <v>87</v>
      </c>
      <c r="BS462" s="218">
        <v>48.546295200000003</v>
      </c>
      <c r="BT462" s="180"/>
      <c r="BU462" s="218">
        <v>19.934989900000001</v>
      </c>
      <c r="BV462" s="180"/>
    </row>
    <row r="463" spans="1:74">
      <c r="A463" s="154" t="s">
        <v>7848</v>
      </c>
      <c r="B463" s="224" t="s">
        <v>259</v>
      </c>
      <c r="C463" s="224" t="s">
        <v>7987</v>
      </c>
      <c r="D463" s="224"/>
      <c r="E463" s="223">
        <v>6</v>
      </c>
      <c r="F463" s="225">
        <v>31</v>
      </c>
      <c r="G463" s="223"/>
      <c r="I463" s="253">
        <v>37</v>
      </c>
      <c r="S463" s="218">
        <v>1560.7715020000001</v>
      </c>
      <c r="T463" s="180"/>
      <c r="Y463" s="218">
        <v>634.0071289</v>
      </c>
      <c r="Z463" s="180"/>
      <c r="AA463" s="218">
        <v>67345.53602</v>
      </c>
      <c r="AB463" s="180"/>
      <c r="AC463" s="252">
        <v>31.958268619999998</v>
      </c>
      <c r="AD463" s="180"/>
      <c r="AG463" s="218">
        <v>4.7454175149999998</v>
      </c>
      <c r="AH463" s="180"/>
      <c r="AM463" s="218">
        <v>87</v>
      </c>
      <c r="BS463" s="218">
        <v>48.837799099999998</v>
      </c>
      <c r="BT463" s="180"/>
      <c r="BU463" s="218">
        <v>19.838594400000002</v>
      </c>
      <c r="BV463" s="180"/>
    </row>
    <row r="464" spans="1:74">
      <c r="A464" s="154" t="s">
        <v>7848</v>
      </c>
      <c r="B464" s="224" t="s">
        <v>259</v>
      </c>
      <c r="C464" s="224" t="s">
        <v>7988</v>
      </c>
      <c r="D464" s="224"/>
      <c r="E464" s="222">
        <v>12</v>
      </c>
      <c r="F464" s="225">
        <v>60</v>
      </c>
      <c r="G464" s="223"/>
      <c r="I464" s="253">
        <v>34</v>
      </c>
      <c r="S464" s="218">
        <v>1747.548366</v>
      </c>
      <c r="T464" s="180"/>
      <c r="Y464" s="218">
        <v>721.47068890000003</v>
      </c>
      <c r="Z464" s="180"/>
      <c r="AA464" s="218">
        <v>80982.586869999999</v>
      </c>
      <c r="AB464" s="180"/>
      <c r="AC464" s="252">
        <v>35.536335919999999</v>
      </c>
      <c r="AD464" s="180"/>
      <c r="AG464" s="218">
        <v>4.388145315</v>
      </c>
      <c r="AH464" s="180"/>
      <c r="AM464" s="218">
        <v>87</v>
      </c>
      <c r="BS464" s="218">
        <v>49.176380199999997</v>
      </c>
      <c r="BT464" s="180"/>
      <c r="BU464" s="218">
        <v>20.302337600000001</v>
      </c>
      <c r="BV464" s="180"/>
    </row>
    <row r="465" spans="1:74">
      <c r="A465" s="154" t="s">
        <v>7848</v>
      </c>
      <c r="B465" s="224" t="s">
        <v>259</v>
      </c>
      <c r="C465" s="224" t="s">
        <v>7989</v>
      </c>
      <c r="D465" s="224"/>
      <c r="E465" s="222">
        <v>16</v>
      </c>
      <c r="F465" s="225">
        <v>20</v>
      </c>
      <c r="G465" s="223"/>
      <c r="I465" s="253">
        <v>34</v>
      </c>
      <c r="S465" s="218">
        <v>1426.7157970000001</v>
      </c>
      <c r="T465" s="180"/>
      <c r="Y465" s="218">
        <v>618.96722799999998</v>
      </c>
      <c r="Z465" s="180"/>
      <c r="AA465" s="218">
        <v>62387.942790000001</v>
      </c>
      <c r="AB465" s="180"/>
      <c r="AC465" s="252">
        <v>29.666103410000002</v>
      </c>
      <c r="AD465" s="180"/>
      <c r="AG465" s="218">
        <v>4.7551020409999998</v>
      </c>
      <c r="AH465" s="180"/>
      <c r="AM465" s="218">
        <v>87</v>
      </c>
      <c r="BS465" s="218">
        <v>48.092456800000001</v>
      </c>
      <c r="BT465" s="180"/>
      <c r="BU465" s="218">
        <v>20.864460000000001</v>
      </c>
      <c r="BV465" s="180"/>
    </row>
    <row r="466" spans="1:74">
      <c r="A466" s="154" t="s">
        <v>7762</v>
      </c>
      <c r="B466" s="224" t="s">
        <v>257</v>
      </c>
      <c r="C466" s="224" t="s">
        <v>405</v>
      </c>
      <c r="D466" s="224"/>
      <c r="E466" s="222">
        <v>1</v>
      </c>
      <c r="F466" s="225">
        <v>4</v>
      </c>
      <c r="G466" s="223"/>
      <c r="I466" s="253">
        <v>33</v>
      </c>
      <c r="S466" s="218">
        <v>1505.877579</v>
      </c>
      <c r="T466" s="180"/>
      <c r="Y466" s="218">
        <v>634.14051029999996</v>
      </c>
      <c r="Z466" s="180"/>
      <c r="AA466" s="218">
        <v>64949.879800000002</v>
      </c>
      <c r="AB466" s="180"/>
      <c r="AC466" s="252">
        <v>31.44289732</v>
      </c>
      <c r="AD466" s="180"/>
      <c r="AG466" s="218">
        <v>4.8411016949999999</v>
      </c>
      <c r="AH466" s="180"/>
      <c r="AM466" s="218">
        <v>99</v>
      </c>
      <c r="BS466" s="218">
        <v>47.892456099999997</v>
      </c>
      <c r="BT466" s="180"/>
      <c r="BU466" s="218">
        <v>20.168005000000001</v>
      </c>
      <c r="BV466" s="180"/>
    </row>
    <row r="467" spans="1:74">
      <c r="A467" s="154" t="s">
        <v>7762</v>
      </c>
      <c r="B467" s="224" t="s">
        <v>257</v>
      </c>
      <c r="C467" s="224" t="s">
        <v>7987</v>
      </c>
      <c r="D467" s="224"/>
      <c r="E467" s="222">
        <v>6</v>
      </c>
      <c r="F467" s="225">
        <v>62</v>
      </c>
      <c r="G467" s="223"/>
      <c r="I467" s="253">
        <v>37</v>
      </c>
      <c r="S467" s="218">
        <v>1195.716801</v>
      </c>
      <c r="T467" s="180"/>
      <c r="Y467" s="218">
        <v>495.48619259999998</v>
      </c>
      <c r="Z467" s="180"/>
      <c r="AA467" s="218">
        <v>49459.237930000003</v>
      </c>
      <c r="AB467" s="180"/>
      <c r="AC467" s="252">
        <v>24.836212150000001</v>
      </c>
      <c r="AD467" s="180"/>
      <c r="AG467" s="218">
        <v>5.021551724</v>
      </c>
      <c r="AH467" s="180"/>
      <c r="AM467" s="218">
        <v>101</v>
      </c>
      <c r="BS467" s="218">
        <v>48.144088699999998</v>
      </c>
      <c r="BT467" s="180"/>
      <c r="BU467" s="218">
        <v>19.950151399999999</v>
      </c>
      <c r="BV467" s="180"/>
    </row>
    <row r="468" spans="1:74">
      <c r="A468" s="154" t="s">
        <v>7762</v>
      </c>
      <c r="B468" s="224" t="s">
        <v>257</v>
      </c>
      <c r="C468" s="224" t="s">
        <v>7988</v>
      </c>
      <c r="D468" s="224"/>
      <c r="E468" s="223">
        <v>11</v>
      </c>
      <c r="F468" s="225">
        <v>22</v>
      </c>
      <c r="G468" s="223"/>
      <c r="I468" s="253">
        <v>37</v>
      </c>
      <c r="S468" s="218">
        <v>1475.5958459999999</v>
      </c>
      <c r="T468" s="180"/>
      <c r="Y468" s="218">
        <v>583.87422030000005</v>
      </c>
      <c r="Z468" s="180"/>
      <c r="AA468" s="218">
        <v>60399.977129999999</v>
      </c>
      <c r="AB468" s="180"/>
      <c r="AC468" s="252">
        <v>30.232357260000001</v>
      </c>
      <c r="AD468" s="180"/>
      <c r="AG468" s="218">
        <v>5.0053590569999997</v>
      </c>
      <c r="AH468" s="180"/>
      <c r="AM468" s="218">
        <v>101</v>
      </c>
      <c r="BS468" s="218">
        <v>48.808494600000003</v>
      </c>
      <c r="BT468" s="180"/>
      <c r="BU468" s="218">
        <v>19.312891</v>
      </c>
      <c r="BV468" s="180"/>
    </row>
    <row r="469" spans="1:74">
      <c r="A469" s="154" t="s">
        <v>7762</v>
      </c>
      <c r="B469" s="224" t="s">
        <v>257</v>
      </c>
      <c r="C469" s="224" t="s">
        <v>7989</v>
      </c>
      <c r="D469" s="224"/>
      <c r="E469" s="223">
        <v>13</v>
      </c>
      <c r="F469" s="225">
        <v>39</v>
      </c>
      <c r="G469" s="223"/>
      <c r="I469" s="253">
        <v>39</v>
      </c>
      <c r="S469" s="218">
        <v>1436.8538860000001</v>
      </c>
      <c r="T469" s="180"/>
      <c r="Y469" s="218">
        <v>564.43770070000005</v>
      </c>
      <c r="Z469" s="180"/>
      <c r="AA469" s="218">
        <v>59191.961710000003</v>
      </c>
      <c r="AB469" s="180"/>
      <c r="AC469" s="252">
        <v>29.374879610000001</v>
      </c>
      <c r="AD469" s="180"/>
      <c r="AG469" s="218">
        <v>4.9626467449999998</v>
      </c>
      <c r="AH469" s="180"/>
      <c r="AM469" s="218">
        <v>99</v>
      </c>
      <c r="BS469" s="218">
        <v>48.914375300000003</v>
      </c>
      <c r="BT469" s="180"/>
      <c r="BU469" s="218">
        <v>19.214979199999998</v>
      </c>
      <c r="BV469" s="180"/>
    </row>
    <row r="470" spans="1:74">
      <c r="A470" s="154" t="s">
        <v>7762</v>
      </c>
      <c r="B470" s="224" t="s">
        <v>259</v>
      </c>
      <c r="C470" s="224" t="s">
        <v>405</v>
      </c>
      <c r="D470" s="224"/>
      <c r="E470" s="222">
        <v>4</v>
      </c>
      <c r="F470" s="225">
        <v>63</v>
      </c>
      <c r="G470" s="223"/>
      <c r="I470" s="253">
        <v>40</v>
      </c>
      <c r="S470" s="218">
        <v>1637.747531</v>
      </c>
      <c r="T470" s="180"/>
      <c r="Y470" s="218">
        <v>705.73049790000005</v>
      </c>
      <c r="Z470" s="180"/>
      <c r="AA470" s="218">
        <v>69128.521859999993</v>
      </c>
      <c r="AB470" s="180"/>
      <c r="AC470" s="252">
        <v>34.090777899999999</v>
      </c>
      <c r="AD470" s="180"/>
      <c r="AG470" s="218">
        <v>4.9315068489999998</v>
      </c>
      <c r="AH470" s="180"/>
      <c r="AM470" s="218">
        <v>101</v>
      </c>
      <c r="BS470" s="218">
        <v>48.040779100000002</v>
      </c>
      <c r="BT470" s="180"/>
      <c r="BU470" s="218">
        <v>20.701507599999999</v>
      </c>
      <c r="BV470" s="180"/>
    </row>
    <row r="471" spans="1:74">
      <c r="A471" s="154" t="s">
        <v>7762</v>
      </c>
      <c r="B471" s="224" t="s">
        <v>259</v>
      </c>
      <c r="C471" s="224" t="s">
        <v>7987</v>
      </c>
      <c r="D471" s="224"/>
      <c r="E471" s="222">
        <v>7</v>
      </c>
      <c r="F471" s="225">
        <v>9</v>
      </c>
      <c r="G471" s="223"/>
      <c r="I471" s="253">
        <v>27</v>
      </c>
      <c r="S471" s="218">
        <v>1207.3101059999999</v>
      </c>
      <c r="T471" s="180"/>
      <c r="Y471" s="218">
        <v>509.46084050000002</v>
      </c>
      <c r="Z471" s="180"/>
      <c r="AA471" s="218">
        <v>48857.864260000002</v>
      </c>
      <c r="AB471" s="180"/>
      <c r="AC471" s="252">
        <v>25.213471479999999</v>
      </c>
      <c r="AD471" s="180"/>
      <c r="AG471" s="218">
        <v>5.1605758579999996</v>
      </c>
      <c r="AH471" s="180"/>
      <c r="AM471" s="218">
        <v>99</v>
      </c>
      <c r="BS471" s="218">
        <v>47.883533499999999</v>
      </c>
      <c r="BT471" s="180"/>
      <c r="BU471" s="218">
        <v>20.205898300000001</v>
      </c>
      <c r="BV471" s="180"/>
    </row>
    <row r="472" spans="1:74">
      <c r="A472" s="154" t="s">
        <v>7762</v>
      </c>
      <c r="B472" s="224" t="s">
        <v>259</v>
      </c>
      <c r="C472" s="224" t="s">
        <v>7988</v>
      </c>
      <c r="D472" s="224"/>
      <c r="E472" s="222">
        <v>10</v>
      </c>
      <c r="F472" s="225">
        <v>50</v>
      </c>
      <c r="G472" s="223"/>
      <c r="I472" s="253">
        <v>43</v>
      </c>
      <c r="S472" s="218">
        <v>1554.4650710000001</v>
      </c>
      <c r="T472" s="180"/>
      <c r="Y472" s="218">
        <v>611.96523249999996</v>
      </c>
      <c r="Z472" s="180"/>
      <c r="AA472" s="218">
        <v>63422.594810000002</v>
      </c>
      <c r="AB472" s="180"/>
      <c r="AC472" s="252">
        <v>31.71129741</v>
      </c>
      <c r="AD472" s="180"/>
      <c r="AG472" s="218">
        <v>5</v>
      </c>
      <c r="AH472" s="180"/>
      <c r="AM472" s="218">
        <v>101</v>
      </c>
      <c r="BS472" s="218">
        <v>49.019283299999998</v>
      </c>
      <c r="BT472" s="180"/>
      <c r="BU472" s="218">
        <v>19.298019400000001</v>
      </c>
      <c r="BV472" s="180"/>
    </row>
    <row r="473" spans="1:74">
      <c r="A473" s="154" t="s">
        <v>7762</v>
      </c>
      <c r="B473" s="224" t="s">
        <v>259</v>
      </c>
      <c r="C473" s="224" t="s">
        <v>7989</v>
      </c>
      <c r="D473" s="224"/>
      <c r="E473" s="222">
        <v>14</v>
      </c>
      <c r="F473" s="225">
        <v>18</v>
      </c>
      <c r="G473" s="223"/>
      <c r="I473" s="253">
        <v>40</v>
      </c>
      <c r="S473" s="218">
        <v>1292.9540179999999</v>
      </c>
      <c r="T473" s="180"/>
      <c r="Y473" s="218">
        <v>563.32483009999999</v>
      </c>
      <c r="Z473" s="180"/>
      <c r="AA473" s="218">
        <v>56857.468529999998</v>
      </c>
      <c r="AB473" s="180"/>
      <c r="AC473" s="252">
        <v>27.144479329999999</v>
      </c>
      <c r="AD473" s="180"/>
      <c r="AG473" s="218">
        <v>4.7741273099999999</v>
      </c>
      <c r="AH473" s="180"/>
      <c r="AM473" s="218">
        <v>99</v>
      </c>
      <c r="BS473" s="218">
        <v>47.632301300000002</v>
      </c>
      <c r="BT473" s="180"/>
      <c r="BU473" s="218">
        <v>20.752832399999999</v>
      </c>
      <c r="BV473" s="180"/>
    </row>
    <row r="474" spans="1:74">
      <c r="A474" s="154" t="s">
        <v>7763</v>
      </c>
      <c r="B474" s="224" t="s">
        <v>257</v>
      </c>
      <c r="C474" s="224" t="s">
        <v>405</v>
      </c>
      <c r="D474" s="224"/>
      <c r="E474" s="223">
        <v>2</v>
      </c>
      <c r="F474" s="225">
        <v>31</v>
      </c>
      <c r="G474" s="223"/>
      <c r="I474" s="253">
        <v>40</v>
      </c>
      <c r="S474" s="218">
        <v>1266.5710059999999</v>
      </c>
      <c r="T474" s="180"/>
      <c r="Y474" s="218">
        <v>435.01082059999999</v>
      </c>
      <c r="Z474" s="180"/>
      <c r="AA474" s="218">
        <v>57499.620790000001</v>
      </c>
      <c r="AB474" s="180"/>
      <c r="AC474" s="252">
        <v>25.400317919999999</v>
      </c>
      <c r="AD474" s="180"/>
      <c r="AG474" s="218">
        <v>4.4174757280000003</v>
      </c>
      <c r="AH474" s="180"/>
      <c r="AM474" s="218">
        <v>83</v>
      </c>
      <c r="BS474" s="218">
        <v>49.864376100000001</v>
      </c>
      <c r="BT474" s="180"/>
      <c r="BU474" s="218">
        <v>17.126195899999999</v>
      </c>
      <c r="BV474" s="180"/>
    </row>
    <row r="475" spans="1:74">
      <c r="A475" s="154" t="s">
        <v>7763</v>
      </c>
      <c r="B475" s="224" t="s">
        <v>257</v>
      </c>
      <c r="C475" s="224" t="s">
        <v>7987</v>
      </c>
      <c r="D475" s="224"/>
      <c r="E475" s="223">
        <v>8</v>
      </c>
      <c r="F475" s="225">
        <v>45</v>
      </c>
      <c r="G475" s="223"/>
      <c r="I475" s="253" t="s">
        <v>7956</v>
      </c>
      <c r="S475" s="218" t="s">
        <v>7956</v>
      </c>
      <c r="T475" s="180"/>
      <c r="Y475" s="218" t="s">
        <v>7956</v>
      </c>
      <c r="Z475" s="180"/>
      <c r="AA475" s="218" t="s">
        <v>7956</v>
      </c>
      <c r="AB475" s="180"/>
      <c r="AC475" s="252" t="s">
        <v>7956</v>
      </c>
      <c r="AD475" s="180"/>
      <c r="AG475" s="218" t="s">
        <v>7956</v>
      </c>
      <c r="AH475" s="180"/>
      <c r="AM475" s="218">
        <v>87</v>
      </c>
      <c r="BS475" s="218" t="s">
        <v>7956</v>
      </c>
      <c r="BT475" s="180"/>
      <c r="BU475" s="218" t="s">
        <v>7956</v>
      </c>
      <c r="BV475" s="180"/>
    </row>
    <row r="476" spans="1:74">
      <c r="A476" s="154" t="s">
        <v>7763</v>
      </c>
      <c r="B476" s="224" t="s">
        <v>257</v>
      </c>
      <c r="C476" s="224" t="s">
        <v>7988</v>
      </c>
      <c r="D476" s="224"/>
      <c r="E476" s="222">
        <v>12</v>
      </c>
      <c r="F476" s="225">
        <v>9</v>
      </c>
      <c r="G476" s="223"/>
      <c r="I476" s="253">
        <v>32</v>
      </c>
      <c r="S476" s="218">
        <v>1122.7095280000001</v>
      </c>
      <c r="T476" s="180"/>
      <c r="Y476" s="218">
        <v>418.93073479999998</v>
      </c>
      <c r="Z476" s="180"/>
      <c r="AA476" s="218">
        <v>50906.965349999999</v>
      </c>
      <c r="AB476" s="180"/>
      <c r="AC476" s="252">
        <v>23.162417470000001</v>
      </c>
      <c r="AD476" s="180"/>
      <c r="AG476" s="218">
        <v>4.5499505439999997</v>
      </c>
      <c r="AH476" s="180"/>
      <c r="AM476" s="218">
        <v>87</v>
      </c>
      <c r="BS476" s="218">
        <v>48.471172299999999</v>
      </c>
      <c r="BT476" s="180"/>
      <c r="BU476" s="218">
        <v>18.086658499999999</v>
      </c>
      <c r="BV476" s="180"/>
    </row>
    <row r="477" spans="1:74">
      <c r="A477" s="154" t="s">
        <v>7763</v>
      </c>
      <c r="B477" s="224" t="s">
        <v>257</v>
      </c>
      <c r="C477" s="224" t="s">
        <v>7989</v>
      </c>
      <c r="D477" s="224"/>
      <c r="E477" s="222">
        <v>13</v>
      </c>
      <c r="F477" s="225">
        <v>50</v>
      </c>
      <c r="G477" s="223"/>
      <c r="I477" s="253">
        <v>36</v>
      </c>
      <c r="S477" s="218">
        <v>1602.1636140000001</v>
      </c>
      <c r="T477" s="180"/>
      <c r="Y477" s="218">
        <v>632.56445080000003</v>
      </c>
      <c r="Z477" s="180"/>
      <c r="AA477" s="218">
        <v>72997.02579</v>
      </c>
      <c r="AB477" s="180"/>
      <c r="AC477" s="252">
        <v>33.173966669999999</v>
      </c>
      <c r="AD477" s="180"/>
      <c r="AG477" s="218">
        <v>4.5445641529999996</v>
      </c>
      <c r="AH477" s="180"/>
      <c r="AM477" s="218">
        <v>87</v>
      </c>
      <c r="BS477" s="218">
        <v>48.295810699999997</v>
      </c>
      <c r="BT477" s="180"/>
      <c r="BU477" s="218">
        <v>19.0680981</v>
      </c>
      <c r="BV477" s="180"/>
    </row>
    <row r="478" spans="1:74">
      <c r="A478" s="154" t="s">
        <v>7763</v>
      </c>
      <c r="B478" s="224" t="s">
        <v>259</v>
      </c>
      <c r="C478" s="224" t="s">
        <v>405</v>
      </c>
      <c r="D478" s="224"/>
      <c r="E478" s="222">
        <v>1</v>
      </c>
      <c r="F478" s="225">
        <v>47</v>
      </c>
      <c r="G478" s="223"/>
      <c r="I478" s="253">
        <v>36</v>
      </c>
      <c r="S478" s="218">
        <v>1348.05132</v>
      </c>
      <c r="T478" s="180"/>
      <c r="Y478" s="218">
        <v>577.35176360000003</v>
      </c>
      <c r="Z478" s="180"/>
      <c r="AA478" s="218">
        <v>62809.19642</v>
      </c>
      <c r="AB478" s="180"/>
      <c r="AC478" s="252">
        <v>28.988859890000001</v>
      </c>
      <c r="AD478" s="180"/>
      <c r="AG478" s="218">
        <v>4.615384615</v>
      </c>
      <c r="AH478" s="180"/>
      <c r="AM478" s="218">
        <v>83</v>
      </c>
      <c r="BS478" s="218">
        <v>46.502391799999998</v>
      </c>
      <c r="BT478" s="180"/>
      <c r="BU478" s="218">
        <v>19.916332199999999</v>
      </c>
      <c r="BV478" s="180"/>
    </row>
    <row r="479" spans="1:74">
      <c r="A479" s="154" t="s">
        <v>7763</v>
      </c>
      <c r="B479" s="224" t="s">
        <v>259</v>
      </c>
      <c r="C479" s="224" t="s">
        <v>7987</v>
      </c>
      <c r="D479" s="224"/>
      <c r="E479" s="222">
        <v>6</v>
      </c>
      <c r="F479" s="225">
        <v>17</v>
      </c>
      <c r="G479" s="223"/>
      <c r="I479" s="253">
        <v>39</v>
      </c>
      <c r="S479" s="218">
        <v>1350.9455109999999</v>
      </c>
      <c r="T479" s="180"/>
      <c r="Y479" s="218">
        <v>539.99901839999995</v>
      </c>
      <c r="Z479" s="180"/>
      <c r="AA479" s="218">
        <v>61113.629630000003</v>
      </c>
      <c r="AB479" s="180"/>
      <c r="AC479" s="252">
        <v>28.168606839999999</v>
      </c>
      <c r="AD479" s="180"/>
      <c r="AG479" s="218">
        <v>4.609218437</v>
      </c>
      <c r="AH479" s="180"/>
      <c r="AM479" s="218">
        <v>81</v>
      </c>
      <c r="BS479" s="218">
        <v>47.959259000000003</v>
      </c>
      <c r="BT479" s="180"/>
      <c r="BU479" s="218">
        <v>19.170242300000002</v>
      </c>
      <c r="BV479" s="180"/>
    </row>
    <row r="480" spans="1:74">
      <c r="A480" s="154" t="s">
        <v>7763</v>
      </c>
      <c r="B480" s="224" t="s">
        <v>259</v>
      </c>
      <c r="C480" s="224" t="s">
        <v>7988</v>
      </c>
      <c r="D480" s="224"/>
      <c r="E480" s="223">
        <v>10</v>
      </c>
      <c r="F480" s="225">
        <v>56</v>
      </c>
      <c r="G480" s="223"/>
      <c r="I480" s="253">
        <v>37</v>
      </c>
      <c r="S480" s="218">
        <v>1543.4138969999999</v>
      </c>
      <c r="T480" s="180"/>
      <c r="Y480" s="218">
        <v>626.18488300000001</v>
      </c>
      <c r="Z480" s="180"/>
      <c r="AA480" s="218">
        <v>68047.898629999996</v>
      </c>
      <c r="AB480" s="180"/>
      <c r="AC480" s="252">
        <v>32.526477640000003</v>
      </c>
      <c r="AD480" s="180"/>
      <c r="AG480" s="218">
        <v>4.7799385880000003</v>
      </c>
      <c r="AH480" s="180"/>
      <c r="AM480" s="218">
        <v>83</v>
      </c>
      <c r="BS480" s="218">
        <v>47.451000200000003</v>
      </c>
      <c r="BT480" s="180"/>
      <c r="BU480" s="218">
        <v>19.251543000000002</v>
      </c>
      <c r="BV480" s="180"/>
    </row>
    <row r="481" spans="1:74">
      <c r="A481" s="154" t="s">
        <v>7763</v>
      </c>
      <c r="B481" s="224" t="s">
        <v>259</v>
      </c>
      <c r="C481" s="224" t="s">
        <v>7989</v>
      </c>
      <c r="D481" s="224"/>
      <c r="E481" s="223">
        <v>14</v>
      </c>
      <c r="F481" s="225">
        <v>11</v>
      </c>
      <c r="G481" s="223"/>
      <c r="I481" s="253">
        <v>33</v>
      </c>
      <c r="S481" s="218">
        <v>1236.0888600000001</v>
      </c>
      <c r="T481" s="180"/>
      <c r="Y481" s="218">
        <v>514.85884060000001</v>
      </c>
      <c r="Z481" s="180"/>
      <c r="AA481" s="218">
        <v>56106.43275</v>
      </c>
      <c r="AB481" s="180"/>
      <c r="AC481" s="252">
        <v>25.951327039999999</v>
      </c>
      <c r="AD481" s="180"/>
      <c r="AG481" s="218">
        <v>4.6253746250000001</v>
      </c>
      <c r="AH481" s="180"/>
      <c r="AM481" s="218">
        <v>83</v>
      </c>
      <c r="BS481" s="218">
        <v>47.631046300000001</v>
      </c>
      <c r="BT481" s="180"/>
      <c r="BU481" s="218">
        <v>19.8394032</v>
      </c>
      <c r="BV481" s="180"/>
    </row>
    <row r="482" spans="1:74">
      <c r="A482" s="154" t="s">
        <v>7764</v>
      </c>
      <c r="B482" s="224" t="s">
        <v>257</v>
      </c>
      <c r="C482" s="224" t="s">
        <v>405</v>
      </c>
      <c r="D482" s="224"/>
      <c r="E482" s="222">
        <v>3</v>
      </c>
      <c r="F482" s="225">
        <v>8</v>
      </c>
      <c r="G482" s="223"/>
      <c r="I482" s="253">
        <v>35</v>
      </c>
      <c r="S482" s="218">
        <v>1082.086421</v>
      </c>
      <c r="T482" s="180"/>
      <c r="Y482" s="218">
        <v>396.83378310000001</v>
      </c>
      <c r="Z482" s="180"/>
      <c r="AA482" s="218">
        <v>47088.901360000003</v>
      </c>
      <c r="AB482" s="180"/>
      <c r="AC482" s="252">
        <v>21.852633860000001</v>
      </c>
      <c r="AD482" s="180"/>
      <c r="AG482" s="218">
        <v>4.6407185630000001</v>
      </c>
      <c r="AH482" s="180"/>
      <c r="AM482" s="218">
        <v>83</v>
      </c>
      <c r="BS482" s="218">
        <v>49.517437000000001</v>
      </c>
      <c r="BT482" s="180"/>
      <c r="BU482" s="218">
        <v>18.159540199999999</v>
      </c>
      <c r="BV482" s="180"/>
    </row>
    <row r="483" spans="1:74">
      <c r="A483" s="154" t="s">
        <v>7764</v>
      </c>
      <c r="B483" s="224" t="s">
        <v>257</v>
      </c>
      <c r="C483" s="224" t="s">
        <v>7987</v>
      </c>
      <c r="D483" s="224"/>
      <c r="E483" s="222">
        <v>5</v>
      </c>
      <c r="F483" s="225">
        <v>63</v>
      </c>
      <c r="G483" s="223"/>
      <c r="I483" s="253">
        <v>21</v>
      </c>
      <c r="S483" s="218">
        <v>1517.776734</v>
      </c>
      <c r="T483" s="180"/>
      <c r="Y483" s="218">
        <v>516.1995167</v>
      </c>
      <c r="Z483" s="180"/>
      <c r="AA483" s="218">
        <v>65708.796629999997</v>
      </c>
      <c r="AB483" s="180"/>
      <c r="AC483" s="252">
        <v>30.027165230000001</v>
      </c>
      <c r="AD483" s="180"/>
      <c r="AG483" s="218">
        <v>4.5697329379999996</v>
      </c>
      <c r="AH483" s="180"/>
      <c r="AM483" s="218">
        <v>83</v>
      </c>
      <c r="BS483" s="218">
        <v>50.546787299999998</v>
      </c>
      <c r="BT483" s="180"/>
      <c r="BU483" s="218">
        <v>17.191083899999999</v>
      </c>
      <c r="BV483" s="180"/>
    </row>
    <row r="484" spans="1:74">
      <c r="A484" s="154" t="s">
        <v>7764</v>
      </c>
      <c r="B484" s="224" t="s">
        <v>257</v>
      </c>
      <c r="C484" s="224" t="s">
        <v>7988</v>
      </c>
      <c r="D484" s="224"/>
      <c r="E484" s="222">
        <v>12</v>
      </c>
      <c r="F484" s="225">
        <v>14</v>
      </c>
      <c r="G484" s="223"/>
      <c r="I484" s="253">
        <v>32</v>
      </c>
      <c r="S484" s="218">
        <v>1098.9094950000001</v>
      </c>
      <c r="T484" s="180"/>
      <c r="Y484" s="218">
        <v>440.86944219999998</v>
      </c>
      <c r="Z484" s="180"/>
      <c r="AA484" s="218">
        <v>43587.45491</v>
      </c>
      <c r="AB484" s="180"/>
      <c r="AC484" s="252">
        <v>22.49519038</v>
      </c>
      <c r="AD484" s="180"/>
      <c r="AG484" s="218">
        <v>5.1609322969999996</v>
      </c>
      <c r="AH484" s="180"/>
      <c r="AM484" s="218">
        <v>81</v>
      </c>
      <c r="BS484" s="218">
        <v>48.850864399999999</v>
      </c>
      <c r="BT484" s="180"/>
      <c r="BU484" s="218">
        <v>19.5983868</v>
      </c>
      <c r="BV484" s="180"/>
    </row>
    <row r="485" spans="1:74">
      <c r="A485" s="154" t="s">
        <v>7764</v>
      </c>
      <c r="B485" s="224" t="s">
        <v>257</v>
      </c>
      <c r="C485" s="224" t="s">
        <v>7989</v>
      </c>
      <c r="D485" s="224"/>
      <c r="E485" s="222">
        <v>14</v>
      </c>
      <c r="F485" s="225">
        <v>62</v>
      </c>
      <c r="G485" s="223"/>
      <c r="I485" s="253">
        <v>36</v>
      </c>
      <c r="S485" s="218">
        <v>1523.6014849999999</v>
      </c>
      <c r="T485" s="180"/>
      <c r="Y485" s="218">
        <v>559.34848460000001</v>
      </c>
      <c r="Z485" s="180"/>
      <c r="AA485" s="218">
        <v>66971.872069999998</v>
      </c>
      <c r="AB485" s="180"/>
      <c r="AC485" s="252">
        <v>30.542836189999999</v>
      </c>
      <c r="AD485" s="180"/>
      <c r="AG485" s="218">
        <v>4.560546875</v>
      </c>
      <c r="AH485" s="180"/>
      <c r="AM485" s="218">
        <v>81</v>
      </c>
      <c r="BS485" s="218">
        <v>49.884086600000003</v>
      </c>
      <c r="BT485" s="180"/>
      <c r="BU485" s="218">
        <v>18.3135738</v>
      </c>
      <c r="BV485" s="180"/>
    </row>
    <row r="486" spans="1:74">
      <c r="A486" s="154" t="s">
        <v>7764</v>
      </c>
      <c r="B486" s="224" t="s">
        <v>259</v>
      </c>
      <c r="C486" s="224" t="s">
        <v>405</v>
      </c>
      <c r="D486" s="224"/>
      <c r="E486" s="223">
        <v>1</v>
      </c>
      <c r="F486" s="225">
        <v>38</v>
      </c>
      <c r="G486" s="223"/>
      <c r="I486" s="253">
        <v>33</v>
      </c>
      <c r="S486" s="218">
        <v>1484.9494400000001</v>
      </c>
      <c r="T486" s="180"/>
      <c r="Y486" s="218">
        <v>567.83817020000004</v>
      </c>
      <c r="Z486" s="180"/>
      <c r="AA486" s="218">
        <v>65729.243159999998</v>
      </c>
      <c r="AB486" s="180"/>
      <c r="AC486" s="252">
        <v>30.386733450000001</v>
      </c>
      <c r="AD486" s="180"/>
      <c r="AG486" s="218">
        <v>4.6230158729999999</v>
      </c>
      <c r="AH486" s="180"/>
      <c r="AM486" s="218">
        <v>83</v>
      </c>
      <c r="BS486" s="218">
        <v>48.868347200000002</v>
      </c>
      <c r="BT486" s="180"/>
      <c r="BU486" s="218">
        <v>18.6870422</v>
      </c>
      <c r="BV486" s="180"/>
    </row>
    <row r="487" spans="1:74">
      <c r="A487" s="154" t="s">
        <v>7764</v>
      </c>
      <c r="B487" s="224" t="s">
        <v>259</v>
      </c>
      <c r="C487" s="224" t="s">
        <v>7987</v>
      </c>
      <c r="D487" s="224"/>
      <c r="E487" s="223">
        <v>6</v>
      </c>
      <c r="F487" s="225">
        <v>21</v>
      </c>
      <c r="G487" s="223"/>
      <c r="I487" s="253">
        <v>31</v>
      </c>
      <c r="S487" s="218">
        <v>1370.37321</v>
      </c>
      <c r="T487" s="180"/>
      <c r="Y487" s="218">
        <v>549.03580980000004</v>
      </c>
      <c r="Z487" s="180"/>
      <c r="AA487" s="218">
        <v>61587.503729999997</v>
      </c>
      <c r="AB487" s="180"/>
      <c r="AC487" s="252">
        <v>28.425001720000001</v>
      </c>
      <c r="AD487" s="180"/>
      <c r="AG487" s="218">
        <v>4.615384615</v>
      </c>
      <c r="AH487" s="180"/>
      <c r="AM487" s="218">
        <v>81</v>
      </c>
      <c r="BS487" s="218">
        <v>48.210136400000003</v>
      </c>
      <c r="BT487" s="180"/>
      <c r="BU487" s="218">
        <v>19.3152428</v>
      </c>
      <c r="BV487" s="180"/>
    </row>
    <row r="488" spans="1:74">
      <c r="A488" s="154" t="s">
        <v>7764</v>
      </c>
      <c r="B488" s="224" t="s">
        <v>259</v>
      </c>
      <c r="C488" s="224" t="s">
        <v>7988</v>
      </c>
      <c r="D488" s="224"/>
      <c r="E488" s="222">
        <v>10</v>
      </c>
      <c r="F488" s="225">
        <v>33</v>
      </c>
      <c r="G488" s="223"/>
      <c r="I488" s="253">
        <v>35</v>
      </c>
      <c r="S488" s="218">
        <v>1428.831989</v>
      </c>
      <c r="T488" s="180"/>
      <c r="Y488" s="218">
        <v>592.00754619999998</v>
      </c>
      <c r="Z488" s="180"/>
      <c r="AA488" s="218">
        <v>57704.787450000003</v>
      </c>
      <c r="AB488" s="180"/>
      <c r="AC488" s="252">
        <v>28.914441889999999</v>
      </c>
      <c r="AD488" s="180"/>
      <c r="AG488" s="218">
        <v>5.0107526880000002</v>
      </c>
      <c r="AH488" s="180"/>
      <c r="AM488" s="218">
        <v>81</v>
      </c>
      <c r="BS488" s="218">
        <v>49.4158592</v>
      </c>
      <c r="BT488" s="180"/>
      <c r="BU488" s="218">
        <v>20.4744587</v>
      </c>
      <c r="BV488" s="180"/>
    </row>
    <row r="489" spans="1:74">
      <c r="A489" s="154" t="s">
        <v>7764</v>
      </c>
      <c r="B489" s="224" t="s">
        <v>259</v>
      </c>
      <c r="C489" s="224" t="s">
        <v>7989</v>
      </c>
      <c r="D489" s="224"/>
      <c r="E489" s="222">
        <v>16</v>
      </c>
      <c r="F489" s="225">
        <v>26</v>
      </c>
      <c r="G489" s="223"/>
      <c r="I489" s="253">
        <v>31</v>
      </c>
      <c r="S489" s="218">
        <v>1946.644331</v>
      </c>
      <c r="T489" s="180"/>
      <c r="Y489" s="218">
        <v>764.12228600000003</v>
      </c>
      <c r="Z489" s="180"/>
      <c r="AA489" s="218">
        <v>85018.487240000002</v>
      </c>
      <c r="AB489" s="180"/>
      <c r="AC489" s="252">
        <v>39.65255423</v>
      </c>
      <c r="AD489" s="180"/>
      <c r="AG489" s="218">
        <v>4.6639919760000002</v>
      </c>
      <c r="AH489" s="180"/>
      <c r="AM489" s="218">
        <v>81</v>
      </c>
      <c r="BS489" s="218">
        <v>49.092533099999997</v>
      </c>
      <c r="BT489" s="180"/>
      <c r="BU489" s="218">
        <v>19.270443</v>
      </c>
      <c r="BV489" s="180"/>
    </row>
    <row r="490" spans="1:74">
      <c r="A490" s="154" t="s">
        <v>7765</v>
      </c>
      <c r="B490" s="224" t="s">
        <v>257</v>
      </c>
      <c r="C490" s="224" t="s">
        <v>405</v>
      </c>
      <c r="D490" s="224"/>
      <c r="E490" s="222">
        <v>1</v>
      </c>
      <c r="F490" s="225">
        <v>1</v>
      </c>
      <c r="G490" s="223"/>
      <c r="I490" s="253">
        <v>27</v>
      </c>
      <c r="S490" s="218">
        <v>1539.1716939999999</v>
      </c>
      <c r="T490" s="180"/>
      <c r="Y490" s="218">
        <v>593.84520299999997</v>
      </c>
      <c r="Z490" s="180"/>
      <c r="AA490" s="218">
        <v>57023.85542</v>
      </c>
      <c r="AB490" s="180"/>
      <c r="AC490" s="252">
        <v>32.032771080000003</v>
      </c>
      <c r="AD490" s="180"/>
      <c r="AG490" s="218">
        <v>5.6174334139999997</v>
      </c>
      <c r="AH490" s="180"/>
      <c r="AM490" s="218">
        <v>89</v>
      </c>
      <c r="BS490" s="218">
        <v>48.049907699999999</v>
      </c>
      <c r="BT490" s="180"/>
      <c r="BU490" s="218">
        <v>18.538677199999999</v>
      </c>
      <c r="BV490" s="180"/>
    </row>
    <row r="491" spans="1:74">
      <c r="A491" s="154" t="s">
        <v>7765</v>
      </c>
      <c r="B491" s="224" t="s">
        <v>257</v>
      </c>
      <c r="C491" s="224" t="s">
        <v>7987</v>
      </c>
      <c r="D491" s="224"/>
      <c r="E491" s="222">
        <v>5</v>
      </c>
      <c r="F491" s="225">
        <v>62</v>
      </c>
      <c r="G491" s="223"/>
      <c r="I491" s="253">
        <v>24</v>
      </c>
      <c r="S491" s="218">
        <v>1380.341328</v>
      </c>
      <c r="T491" s="180"/>
      <c r="Y491" s="218">
        <v>503.33133809999998</v>
      </c>
      <c r="Z491" s="180"/>
      <c r="AA491" s="218">
        <v>48345.026129999998</v>
      </c>
      <c r="AB491" s="180"/>
      <c r="AC491" s="252">
        <v>27.52403941</v>
      </c>
      <c r="AD491" s="180"/>
      <c r="AG491" s="218">
        <v>5.6932515339999998</v>
      </c>
      <c r="AH491" s="180"/>
      <c r="AM491" s="218">
        <v>89</v>
      </c>
      <c r="BS491" s="218">
        <v>50.150390600000001</v>
      </c>
      <c r="BT491" s="180"/>
      <c r="BU491" s="218">
        <v>18.286971999999999</v>
      </c>
      <c r="BV491" s="180"/>
    </row>
    <row r="492" spans="1:74">
      <c r="A492" s="154" t="s">
        <v>7765</v>
      </c>
      <c r="B492" s="224" t="s">
        <v>257</v>
      </c>
      <c r="C492" s="224" t="s">
        <v>7988</v>
      </c>
      <c r="D492" s="224"/>
      <c r="E492" s="223">
        <v>9</v>
      </c>
      <c r="F492" s="225">
        <v>16</v>
      </c>
      <c r="G492" s="223"/>
      <c r="I492" s="253">
        <v>30</v>
      </c>
      <c r="S492" s="218">
        <v>1411.661535</v>
      </c>
      <c r="T492" s="180"/>
      <c r="Y492" s="218">
        <v>547.65743459999999</v>
      </c>
      <c r="Z492" s="180"/>
      <c r="AA492" s="218">
        <v>52303.958910000001</v>
      </c>
      <c r="AB492" s="180"/>
      <c r="AC492" s="252">
        <v>29.28770841</v>
      </c>
      <c r="AD492" s="180"/>
      <c r="AG492" s="218">
        <v>5.5995203839999999</v>
      </c>
      <c r="AH492" s="180"/>
      <c r="AM492" s="218">
        <v>89</v>
      </c>
      <c r="BS492" s="218">
        <v>48.199794799999999</v>
      </c>
      <c r="BT492" s="180"/>
      <c r="BU492" s="218">
        <v>18.6992245</v>
      </c>
      <c r="BV492" s="180"/>
    </row>
    <row r="493" spans="1:74">
      <c r="A493" s="154" t="s">
        <v>7765</v>
      </c>
      <c r="B493" s="224" t="s">
        <v>257</v>
      </c>
      <c r="C493" s="224" t="s">
        <v>7989</v>
      </c>
      <c r="D493" s="224"/>
      <c r="E493" s="223">
        <v>14</v>
      </c>
      <c r="F493" s="225">
        <v>58</v>
      </c>
      <c r="G493" s="223"/>
      <c r="I493" s="253">
        <v>30</v>
      </c>
      <c r="S493" s="218">
        <v>1649.0908790000001</v>
      </c>
      <c r="T493" s="180"/>
      <c r="Y493" s="218">
        <v>638.60725520000005</v>
      </c>
      <c r="Z493" s="180"/>
      <c r="AA493" s="218">
        <v>62911.923060000001</v>
      </c>
      <c r="AB493" s="180"/>
      <c r="AC493" s="252">
        <v>33.702815919999999</v>
      </c>
      <c r="AD493" s="180"/>
      <c r="AG493" s="218">
        <v>5.3571428570000004</v>
      </c>
      <c r="AH493" s="180"/>
      <c r="AM493" s="218">
        <v>89</v>
      </c>
      <c r="BS493" s="218">
        <v>48.930358900000002</v>
      </c>
      <c r="BT493" s="180"/>
      <c r="BU493" s="218">
        <v>18.9481869</v>
      </c>
      <c r="BV493" s="180"/>
    </row>
    <row r="494" spans="1:74">
      <c r="A494" s="154" t="s">
        <v>7765</v>
      </c>
      <c r="B494" s="224" t="s">
        <v>259</v>
      </c>
      <c r="C494" s="224" t="s">
        <v>405</v>
      </c>
      <c r="D494" s="224"/>
      <c r="E494" s="222">
        <v>4</v>
      </c>
      <c r="F494" s="225">
        <v>37</v>
      </c>
      <c r="G494" s="223"/>
      <c r="I494" s="253">
        <v>36</v>
      </c>
      <c r="S494" s="218">
        <v>1564.268431</v>
      </c>
      <c r="T494" s="180"/>
      <c r="Y494" s="218">
        <v>628.75610280000001</v>
      </c>
      <c r="Z494" s="180"/>
      <c r="AA494" s="218">
        <v>59178.059300000001</v>
      </c>
      <c r="AB494" s="180"/>
      <c r="AC494" s="252">
        <v>32.152950250000004</v>
      </c>
      <c r="AD494" s="180"/>
      <c r="AG494" s="218">
        <v>5.433255269</v>
      </c>
      <c r="AH494" s="180"/>
      <c r="AM494" s="218">
        <v>92</v>
      </c>
      <c r="BS494" s="218">
        <v>48.650852200000003</v>
      </c>
      <c r="BT494" s="180"/>
      <c r="BU494" s="218">
        <v>19.5551605</v>
      </c>
      <c r="BV494" s="180"/>
    </row>
    <row r="495" spans="1:74">
      <c r="A495" s="154" t="s">
        <v>7765</v>
      </c>
      <c r="B495" s="224" t="s">
        <v>259</v>
      </c>
      <c r="C495" s="224" t="s">
        <v>7987</v>
      </c>
      <c r="D495" s="224"/>
      <c r="E495" s="222">
        <v>8</v>
      </c>
      <c r="F495" s="225">
        <v>27</v>
      </c>
      <c r="G495" s="223"/>
      <c r="I495" s="253">
        <v>28</v>
      </c>
      <c r="S495" s="218">
        <v>1625.5773899999999</v>
      </c>
      <c r="T495" s="180"/>
      <c r="Y495" s="218">
        <v>661.19388130000004</v>
      </c>
      <c r="Z495" s="180"/>
      <c r="AA495" s="218">
        <v>59527.356319999999</v>
      </c>
      <c r="AB495" s="180"/>
      <c r="AC495" s="252">
        <v>33.43021822</v>
      </c>
      <c r="AD495" s="180"/>
      <c r="AG495" s="218">
        <v>5.6159420290000002</v>
      </c>
      <c r="AH495" s="180"/>
      <c r="AM495" s="218">
        <v>89</v>
      </c>
      <c r="BS495" s="218">
        <v>48.625988</v>
      </c>
      <c r="BT495" s="180"/>
      <c r="BU495" s="218">
        <v>19.778329800000002</v>
      </c>
      <c r="BV495" s="180"/>
    </row>
    <row r="496" spans="1:74">
      <c r="A496" s="154" t="s">
        <v>7765</v>
      </c>
      <c r="B496" s="224" t="s">
        <v>259</v>
      </c>
      <c r="C496" s="224" t="s">
        <v>7988</v>
      </c>
      <c r="D496" s="224"/>
      <c r="E496" s="222">
        <v>10</v>
      </c>
      <c r="F496" s="225">
        <v>49</v>
      </c>
      <c r="G496" s="223"/>
      <c r="I496" s="253">
        <v>34</v>
      </c>
      <c r="S496" s="218">
        <v>1726.85195</v>
      </c>
      <c r="T496" s="180"/>
      <c r="Y496" s="218">
        <v>767.20979590000002</v>
      </c>
      <c r="Z496" s="180"/>
      <c r="AA496" s="218">
        <v>68318.633839999995</v>
      </c>
      <c r="AB496" s="180"/>
      <c r="AC496" s="252">
        <v>37.112341979999997</v>
      </c>
      <c r="AD496" s="180"/>
      <c r="AG496" s="218">
        <v>5.4322429909999999</v>
      </c>
      <c r="AH496" s="180"/>
      <c r="AM496" s="218">
        <v>89</v>
      </c>
      <c r="BS496" s="218">
        <v>46.530395499999997</v>
      </c>
      <c r="BT496" s="180"/>
      <c r="BU496" s="218">
        <v>20.672632199999999</v>
      </c>
      <c r="BV496" s="180"/>
    </row>
    <row r="497" spans="1:74">
      <c r="A497" s="154" t="s">
        <v>7765</v>
      </c>
      <c r="B497" s="224" t="s">
        <v>259</v>
      </c>
      <c r="C497" s="224" t="s">
        <v>7989</v>
      </c>
      <c r="D497" s="224"/>
      <c r="E497" s="222">
        <v>14</v>
      </c>
      <c r="F497" s="225">
        <v>25</v>
      </c>
      <c r="G497" s="223"/>
      <c r="I497" s="253">
        <v>26</v>
      </c>
      <c r="S497" s="218">
        <v>1835.6480779999999</v>
      </c>
      <c r="T497" s="180"/>
      <c r="Y497" s="218">
        <v>838.392383</v>
      </c>
      <c r="Z497" s="180"/>
      <c r="AA497" s="218">
        <v>76621.168720000001</v>
      </c>
      <c r="AB497" s="180"/>
      <c r="AC497" s="252">
        <v>39.678819519999998</v>
      </c>
      <c r="AD497" s="180"/>
      <c r="AG497" s="218">
        <v>5.1785714289999998</v>
      </c>
      <c r="AH497" s="180"/>
      <c r="AM497" s="218">
        <v>89</v>
      </c>
      <c r="BS497" s="218">
        <v>46.262668599999998</v>
      </c>
      <c r="BT497" s="180"/>
      <c r="BU497" s="218">
        <v>21.129468899999999</v>
      </c>
      <c r="BV497" s="180"/>
    </row>
    <row r="498" spans="1:74">
      <c r="A498" s="154" t="s">
        <v>7766</v>
      </c>
      <c r="B498" s="224" t="s">
        <v>257</v>
      </c>
      <c r="C498" s="224" t="s">
        <v>405</v>
      </c>
      <c r="D498" s="224"/>
      <c r="E498" s="223">
        <v>3</v>
      </c>
      <c r="F498" s="225">
        <v>14</v>
      </c>
      <c r="G498" s="223"/>
      <c r="I498" s="253">
        <v>39</v>
      </c>
      <c r="S498" s="218">
        <v>1640.1357129999999</v>
      </c>
      <c r="T498" s="180"/>
      <c r="Y498" s="218">
        <v>589.18156750000003</v>
      </c>
      <c r="Z498" s="180"/>
      <c r="AA498" s="218">
        <v>65321.703150000001</v>
      </c>
      <c r="AB498" s="180"/>
      <c r="AC498" s="252">
        <v>32.41943028</v>
      </c>
      <c r="AD498" s="180"/>
      <c r="AG498" s="218">
        <v>4.9630411829999996</v>
      </c>
      <c r="AH498" s="180"/>
      <c r="AM498" s="218">
        <v>92</v>
      </c>
      <c r="BS498" s="218">
        <v>50.5911331</v>
      </c>
      <c r="BT498" s="180"/>
      <c r="BU498" s="218">
        <v>18.173717499999999</v>
      </c>
      <c r="BV498" s="180"/>
    </row>
    <row r="499" spans="1:74">
      <c r="A499" s="154" t="s">
        <v>7766</v>
      </c>
      <c r="B499" s="224" t="s">
        <v>257</v>
      </c>
      <c r="C499" s="224" t="s">
        <v>7987</v>
      </c>
      <c r="D499" s="224"/>
      <c r="E499" s="223">
        <v>7</v>
      </c>
      <c r="F499" s="225">
        <v>43</v>
      </c>
      <c r="G499" s="223"/>
      <c r="I499" s="253">
        <v>33</v>
      </c>
      <c r="S499" s="218">
        <v>1652.4067869999999</v>
      </c>
      <c r="T499" s="180"/>
      <c r="Y499" s="218">
        <v>618.6138168</v>
      </c>
      <c r="Z499" s="180"/>
      <c r="AA499" s="218">
        <v>69571.001780000006</v>
      </c>
      <c r="AB499" s="180"/>
      <c r="AC499" s="252">
        <v>32.815158410000002</v>
      </c>
      <c r="AD499" s="180"/>
      <c r="AG499" s="218">
        <v>4.7167868180000001</v>
      </c>
      <c r="AH499" s="180"/>
      <c r="AM499" s="218">
        <v>92</v>
      </c>
      <c r="BS499" s="218">
        <v>50.354984299999998</v>
      </c>
      <c r="BT499" s="180"/>
      <c r="BU499" s="218">
        <v>18.8514652</v>
      </c>
      <c r="BV499" s="180"/>
    </row>
    <row r="500" spans="1:74">
      <c r="A500" s="154" t="s">
        <v>7766</v>
      </c>
      <c r="B500" s="224" t="s">
        <v>257</v>
      </c>
      <c r="C500" s="224" t="s">
        <v>7988</v>
      </c>
      <c r="D500" s="224"/>
      <c r="E500" s="222">
        <v>12</v>
      </c>
      <c r="F500" s="225">
        <v>20</v>
      </c>
      <c r="G500" s="223"/>
      <c r="I500" s="253">
        <v>35</v>
      </c>
      <c r="S500" s="218">
        <v>1841.2551860000001</v>
      </c>
      <c r="T500" s="180"/>
      <c r="Y500" s="218">
        <v>662.01909350000005</v>
      </c>
      <c r="Z500" s="180"/>
      <c r="AA500" s="218">
        <v>76976.942389999997</v>
      </c>
      <c r="AB500" s="180"/>
      <c r="AC500" s="252">
        <v>36.416628029999998</v>
      </c>
      <c r="AD500" s="180"/>
      <c r="AG500" s="218">
        <v>4.7308488610000001</v>
      </c>
      <c r="AH500" s="180"/>
      <c r="AM500" s="218">
        <v>92</v>
      </c>
      <c r="BS500" s="218">
        <v>50.560836799999997</v>
      </c>
      <c r="BT500" s="180"/>
      <c r="BU500" s="218">
        <v>18.1790333</v>
      </c>
      <c r="BV500" s="180"/>
    </row>
    <row r="501" spans="1:74">
      <c r="A501" s="154" t="s">
        <v>7766</v>
      </c>
      <c r="B501" s="224" t="s">
        <v>257</v>
      </c>
      <c r="C501" s="224" t="s">
        <v>7989</v>
      </c>
      <c r="D501" s="224"/>
      <c r="E501" s="222">
        <v>16</v>
      </c>
      <c r="F501" s="225">
        <v>37</v>
      </c>
      <c r="G501" s="223"/>
      <c r="I501" s="253">
        <v>40</v>
      </c>
      <c r="S501" s="218">
        <v>1577.2900050000001</v>
      </c>
      <c r="T501" s="180"/>
      <c r="Y501" s="218">
        <v>591.40006000000005</v>
      </c>
      <c r="Z501" s="180"/>
      <c r="AA501" s="218">
        <v>66275.481039999999</v>
      </c>
      <c r="AB501" s="180"/>
      <c r="AC501" s="252">
        <v>31.550101569999999</v>
      </c>
      <c r="AD501" s="180"/>
      <c r="AG501" s="218">
        <v>4.7604485219999999</v>
      </c>
      <c r="AH501" s="180"/>
      <c r="AM501" s="218">
        <v>92</v>
      </c>
      <c r="BS501" s="218">
        <v>49.993183100000003</v>
      </c>
      <c r="BT501" s="180"/>
      <c r="BU501" s="218">
        <v>18.744790999999999</v>
      </c>
      <c r="BV501" s="180"/>
    </row>
    <row r="502" spans="1:74">
      <c r="A502" s="154" t="s">
        <v>7766</v>
      </c>
      <c r="B502" s="224" t="s">
        <v>259</v>
      </c>
      <c r="C502" s="224" t="s">
        <v>405</v>
      </c>
      <c r="D502" s="224"/>
      <c r="E502" s="222">
        <v>3</v>
      </c>
      <c r="F502" s="225">
        <v>62</v>
      </c>
      <c r="G502" s="223"/>
      <c r="I502" s="253">
        <v>36</v>
      </c>
      <c r="S502" s="218">
        <v>1511.4356090000001</v>
      </c>
      <c r="T502" s="180"/>
      <c r="Y502" s="218">
        <v>580.68920009999999</v>
      </c>
      <c r="Z502" s="180"/>
      <c r="AA502" s="218">
        <v>61866.796439999998</v>
      </c>
      <c r="AB502" s="180"/>
      <c r="AC502" s="252">
        <v>30.41568444</v>
      </c>
      <c r="AD502" s="180"/>
      <c r="AG502" s="218">
        <v>4.9163179919999997</v>
      </c>
      <c r="AH502" s="180"/>
      <c r="AM502" s="218">
        <v>94</v>
      </c>
      <c r="BS502" s="218">
        <v>49.6926384</v>
      </c>
      <c r="BT502" s="180"/>
      <c r="BU502" s="218">
        <v>19.091768299999998</v>
      </c>
      <c r="BV502" s="180"/>
    </row>
    <row r="503" spans="1:74">
      <c r="A503" s="154" t="s">
        <v>7766</v>
      </c>
      <c r="B503" s="224" t="s">
        <v>259</v>
      </c>
      <c r="C503" s="224" t="s">
        <v>7987</v>
      </c>
      <c r="D503" s="224"/>
      <c r="E503" s="222">
        <v>8</v>
      </c>
      <c r="F503" s="225">
        <v>32</v>
      </c>
      <c r="G503" s="223"/>
      <c r="I503" s="253">
        <v>39</v>
      </c>
      <c r="S503" s="218">
        <v>1890.993262</v>
      </c>
      <c r="T503" s="180"/>
      <c r="Y503" s="218">
        <v>719.52300890000004</v>
      </c>
      <c r="Z503" s="180"/>
      <c r="AA503" s="218">
        <v>77027.380170000004</v>
      </c>
      <c r="AB503" s="180"/>
      <c r="AC503" s="252">
        <v>37.78087146</v>
      </c>
      <c r="AD503" s="180"/>
      <c r="AG503" s="218">
        <v>4.9048625789999996</v>
      </c>
      <c r="AH503" s="180"/>
      <c r="AM503" s="218">
        <v>92</v>
      </c>
      <c r="BS503" s="218">
        <v>50.051605199999997</v>
      </c>
      <c r="BT503" s="180"/>
      <c r="BU503" s="218">
        <v>19.044637699999999</v>
      </c>
      <c r="BV503" s="180"/>
    </row>
    <row r="504" spans="1:74">
      <c r="A504" s="154" t="s">
        <v>7766</v>
      </c>
      <c r="B504" s="224" t="s">
        <v>259</v>
      </c>
      <c r="C504" s="224" t="s">
        <v>7988</v>
      </c>
      <c r="D504" s="224"/>
      <c r="E504" s="223">
        <v>10</v>
      </c>
      <c r="F504" s="225">
        <v>57</v>
      </c>
      <c r="G504" s="223"/>
      <c r="I504" s="253">
        <v>44</v>
      </c>
      <c r="S504" s="218">
        <v>1859.0648980000001</v>
      </c>
      <c r="T504" s="180"/>
      <c r="Y504" s="218">
        <v>692.47711949999996</v>
      </c>
      <c r="Z504" s="180"/>
      <c r="AA504" s="218">
        <v>77855.301330000002</v>
      </c>
      <c r="AB504" s="180"/>
      <c r="AC504" s="252">
        <v>37.058805329999998</v>
      </c>
      <c r="AD504" s="180"/>
      <c r="AG504" s="218">
        <v>4.7599591419999996</v>
      </c>
      <c r="AH504" s="180"/>
      <c r="AM504" s="218">
        <v>92</v>
      </c>
      <c r="BS504" s="218">
        <v>50.165267900000003</v>
      </c>
      <c r="BT504" s="180"/>
      <c r="BU504" s="218">
        <v>18.6858997</v>
      </c>
      <c r="BV504" s="180"/>
    </row>
    <row r="505" spans="1:74">
      <c r="A505" s="154" t="s">
        <v>7766</v>
      </c>
      <c r="B505" s="224" t="s">
        <v>259</v>
      </c>
      <c r="C505" s="224" t="s">
        <v>7989</v>
      </c>
      <c r="D505" s="224"/>
      <c r="E505" s="223">
        <v>13</v>
      </c>
      <c r="F505" s="225">
        <v>10</v>
      </c>
      <c r="G505" s="223"/>
      <c r="I505" s="253">
        <v>36</v>
      </c>
      <c r="S505" s="218">
        <v>1763.548945</v>
      </c>
      <c r="T505" s="180"/>
      <c r="Y505" s="218">
        <v>712.65887069999997</v>
      </c>
      <c r="Z505" s="180"/>
      <c r="AA505" s="218">
        <v>72053.043380000003</v>
      </c>
      <c r="AB505" s="180"/>
      <c r="AC505" s="252">
        <v>35.604485760000003</v>
      </c>
      <c r="AD505" s="180"/>
      <c r="AG505" s="218">
        <v>4.9414270499999997</v>
      </c>
      <c r="AH505" s="180"/>
      <c r="AM505" s="218">
        <v>92</v>
      </c>
      <c r="BS505" s="218">
        <v>49.531650499999998</v>
      </c>
      <c r="BT505" s="180"/>
      <c r="BU505" s="218">
        <v>20.015985499999999</v>
      </c>
      <c r="BV505" s="180"/>
    </row>
    <row r="506" spans="1:74">
      <c r="A506" s="154" t="s">
        <v>7767</v>
      </c>
      <c r="B506" s="224" t="s">
        <v>257</v>
      </c>
      <c r="C506" s="224" t="s">
        <v>405</v>
      </c>
      <c r="D506" s="224"/>
      <c r="E506" s="222">
        <v>1</v>
      </c>
      <c r="F506" s="225">
        <v>24</v>
      </c>
      <c r="G506" s="223"/>
      <c r="I506" s="253">
        <v>32</v>
      </c>
      <c r="S506" s="218">
        <v>1270.7280860000001</v>
      </c>
      <c r="T506" s="180"/>
      <c r="Y506" s="218">
        <v>488.34630049999998</v>
      </c>
      <c r="Z506" s="180"/>
      <c r="AA506" s="218">
        <v>56879.552499999998</v>
      </c>
      <c r="AB506" s="180"/>
      <c r="AC506" s="252">
        <v>25.52991497</v>
      </c>
      <c r="AD506" s="180"/>
      <c r="AG506" s="218">
        <v>4.488416988</v>
      </c>
      <c r="AH506" s="180"/>
      <c r="AM506" s="218">
        <v>94</v>
      </c>
      <c r="BS506" s="218">
        <v>49.774082200000002</v>
      </c>
      <c r="BT506" s="180"/>
      <c r="BU506" s="218">
        <v>19.128395099999999</v>
      </c>
      <c r="BV506" s="180"/>
    </row>
    <row r="507" spans="1:74">
      <c r="A507" s="154" t="s">
        <v>7767</v>
      </c>
      <c r="B507" s="224" t="s">
        <v>257</v>
      </c>
      <c r="C507" s="224" t="s">
        <v>7987</v>
      </c>
      <c r="D507" s="224"/>
      <c r="E507" s="222">
        <v>8</v>
      </c>
      <c r="F507" s="225">
        <v>33</v>
      </c>
      <c r="G507" s="223"/>
      <c r="I507" s="253">
        <v>25</v>
      </c>
      <c r="S507" s="218">
        <v>1379.5235379999999</v>
      </c>
      <c r="T507" s="180"/>
      <c r="Y507" s="218">
        <v>501.54524500000002</v>
      </c>
      <c r="Z507" s="180"/>
      <c r="AA507" s="218">
        <v>62334.035909999999</v>
      </c>
      <c r="AB507" s="180"/>
      <c r="AC507" s="252">
        <v>26.855146390000002</v>
      </c>
      <c r="AD507" s="180"/>
      <c r="AG507" s="218">
        <v>4.3082636949999999</v>
      </c>
      <c r="AH507" s="180"/>
      <c r="AM507" s="218">
        <v>94</v>
      </c>
      <c r="BS507" s="218">
        <v>51.369056700000002</v>
      </c>
      <c r="BT507" s="180"/>
      <c r="BU507" s="218">
        <v>18.675945299999999</v>
      </c>
      <c r="BV507" s="180"/>
    </row>
    <row r="508" spans="1:74">
      <c r="A508" s="154" t="s">
        <v>7767</v>
      </c>
      <c r="B508" s="224" t="s">
        <v>257</v>
      </c>
      <c r="C508" s="224" t="s">
        <v>7988</v>
      </c>
      <c r="D508" s="224"/>
      <c r="E508" s="222">
        <v>11</v>
      </c>
      <c r="F508" s="225">
        <v>16</v>
      </c>
      <c r="G508" s="223"/>
      <c r="I508" s="253">
        <v>37</v>
      </c>
      <c r="S508" s="218">
        <v>1312.0958619999999</v>
      </c>
      <c r="T508" s="180"/>
      <c r="Y508" s="218">
        <v>480.14060089999998</v>
      </c>
      <c r="Z508" s="180"/>
      <c r="AA508" s="218">
        <v>58414.808319999996</v>
      </c>
      <c r="AB508" s="180"/>
      <c r="AC508" s="252">
        <v>25.77616184</v>
      </c>
      <c r="AD508" s="180"/>
      <c r="AG508" s="218">
        <v>4.4126074500000003</v>
      </c>
      <c r="AH508" s="180"/>
      <c r="AM508" s="218">
        <v>92</v>
      </c>
      <c r="BS508" s="218">
        <v>50.903461499999999</v>
      </c>
      <c r="BT508" s="180"/>
      <c r="BU508" s="218">
        <v>18.6273117</v>
      </c>
      <c r="BV508" s="180"/>
    </row>
    <row r="509" spans="1:74">
      <c r="A509" s="154" t="s">
        <v>7767</v>
      </c>
      <c r="B509" s="224" t="s">
        <v>257</v>
      </c>
      <c r="C509" s="224" t="s">
        <v>7989</v>
      </c>
      <c r="D509" s="224"/>
      <c r="E509" s="222">
        <v>13</v>
      </c>
      <c r="F509" s="225">
        <v>55</v>
      </c>
      <c r="G509" s="223"/>
      <c r="I509" s="253">
        <v>36</v>
      </c>
      <c r="S509" s="218">
        <v>1507.7106570000001</v>
      </c>
      <c r="T509" s="180"/>
      <c r="Y509" s="218">
        <v>601.13086429999998</v>
      </c>
      <c r="Z509" s="180"/>
      <c r="AA509" s="218">
        <v>76320.337830000004</v>
      </c>
      <c r="AB509" s="180"/>
      <c r="AC509" s="252">
        <v>31.197611779999999</v>
      </c>
      <c r="AD509" s="180"/>
      <c r="AG509" s="218">
        <v>4.0877192979999997</v>
      </c>
      <c r="AH509" s="180"/>
      <c r="AM509" s="218">
        <v>94</v>
      </c>
      <c r="BS509" s="218">
        <v>48.327758799999998</v>
      </c>
      <c r="BT509" s="180"/>
      <c r="BU509" s="218">
        <v>19.268489800000001</v>
      </c>
      <c r="BV509" s="180"/>
    </row>
    <row r="510" spans="1:74">
      <c r="A510" s="154" t="s">
        <v>7767</v>
      </c>
      <c r="B510" s="224" t="s">
        <v>259</v>
      </c>
      <c r="C510" s="224" t="s">
        <v>405</v>
      </c>
      <c r="D510" s="224"/>
      <c r="E510" s="223">
        <v>2</v>
      </c>
      <c r="F510" s="225">
        <v>45</v>
      </c>
      <c r="G510" s="223"/>
      <c r="I510" s="253">
        <v>43</v>
      </c>
      <c r="S510" s="218">
        <v>1606.0800369999999</v>
      </c>
      <c r="T510" s="180"/>
      <c r="Y510" s="218">
        <v>578.67131089999998</v>
      </c>
      <c r="Z510" s="180"/>
      <c r="AA510" s="218">
        <v>76130.389049999998</v>
      </c>
      <c r="AB510" s="180"/>
      <c r="AC510" s="252">
        <v>31.59479979</v>
      </c>
      <c r="AD510" s="180"/>
      <c r="AG510" s="218">
        <v>4.1500904160000003</v>
      </c>
      <c r="AH510" s="180"/>
      <c r="AM510" s="218">
        <v>94</v>
      </c>
      <c r="BS510" s="218">
        <v>50.833683000000001</v>
      </c>
      <c r="BT510" s="180"/>
      <c r="BU510" s="218">
        <v>18.315397300000001</v>
      </c>
      <c r="BV510" s="180"/>
    </row>
    <row r="511" spans="1:74">
      <c r="A511" s="154" t="s">
        <v>7767</v>
      </c>
      <c r="B511" s="224" t="s">
        <v>259</v>
      </c>
      <c r="C511" s="224" t="s">
        <v>7987</v>
      </c>
      <c r="D511" s="224"/>
      <c r="E511" s="223">
        <v>5</v>
      </c>
      <c r="F511" s="225">
        <v>2</v>
      </c>
      <c r="G511" s="223"/>
      <c r="I511" s="253">
        <v>31</v>
      </c>
      <c r="S511" s="218">
        <v>1664.324464</v>
      </c>
      <c r="T511" s="180"/>
      <c r="Y511" s="218">
        <v>672.71437920000005</v>
      </c>
      <c r="Z511" s="180"/>
      <c r="AA511" s="218">
        <v>77024.100160000002</v>
      </c>
      <c r="AB511" s="180"/>
      <c r="AC511" s="252">
        <v>33.653386990000001</v>
      </c>
      <c r="AD511" s="180"/>
      <c r="AG511" s="218">
        <v>4.3692022259999996</v>
      </c>
      <c r="AH511" s="180"/>
      <c r="AM511" s="218">
        <v>94</v>
      </c>
      <c r="BS511" s="218">
        <v>49.454887399999997</v>
      </c>
      <c r="BT511" s="180"/>
      <c r="BU511" s="218">
        <v>19.9895</v>
      </c>
      <c r="BV511" s="180"/>
    </row>
    <row r="512" spans="1:74">
      <c r="A512" s="154" t="s">
        <v>7767</v>
      </c>
      <c r="B512" s="224" t="s">
        <v>259</v>
      </c>
      <c r="C512" s="224" t="s">
        <v>7988</v>
      </c>
      <c r="D512" s="224"/>
      <c r="E512" s="222">
        <v>9</v>
      </c>
      <c r="F512" s="225">
        <v>43</v>
      </c>
      <c r="G512" s="223"/>
      <c r="I512" s="253">
        <v>42</v>
      </c>
      <c r="S512" s="218">
        <v>1303.7861519999999</v>
      </c>
      <c r="T512" s="180"/>
      <c r="Y512" s="218">
        <v>581.2278771</v>
      </c>
      <c r="Z512" s="180"/>
      <c r="AA512" s="218">
        <v>63493.27132</v>
      </c>
      <c r="AB512" s="180"/>
      <c r="AC512" s="252">
        <v>27.160348710000001</v>
      </c>
      <c r="AD512" s="180"/>
      <c r="AG512" s="218">
        <v>4.2776735459999999</v>
      </c>
      <c r="AH512" s="180"/>
      <c r="AM512" s="218">
        <v>101</v>
      </c>
      <c r="BS512" s="218">
        <v>48.003292100000003</v>
      </c>
      <c r="BT512" s="180"/>
      <c r="BU512" s="218">
        <v>21.399868000000001</v>
      </c>
      <c r="BV512" s="180"/>
    </row>
    <row r="513" spans="1:74">
      <c r="A513" s="154" t="s">
        <v>7767</v>
      </c>
      <c r="B513" s="224" t="s">
        <v>259</v>
      </c>
      <c r="C513" s="224" t="s">
        <v>7989</v>
      </c>
      <c r="D513" s="224"/>
      <c r="E513" s="222">
        <v>14</v>
      </c>
      <c r="F513" s="225">
        <v>30</v>
      </c>
      <c r="G513" s="223"/>
      <c r="I513" s="253">
        <v>33</v>
      </c>
      <c r="S513" s="218">
        <v>1668.1232580000001</v>
      </c>
      <c r="T513" s="180"/>
      <c r="Y513" s="218">
        <v>652.61321539999994</v>
      </c>
      <c r="Z513" s="180"/>
      <c r="AA513" s="218">
        <v>77835.766130000004</v>
      </c>
      <c r="AB513" s="180"/>
      <c r="AC513" s="252">
        <v>33.658709680000001</v>
      </c>
      <c r="AD513" s="180"/>
      <c r="AG513" s="218">
        <v>4.324324324</v>
      </c>
      <c r="AH513" s="180"/>
      <c r="AM513" s="218">
        <v>94</v>
      </c>
      <c r="BS513" s="218">
        <v>49.559928900000003</v>
      </c>
      <c r="BT513" s="180"/>
      <c r="BU513" s="218">
        <v>19.3891335</v>
      </c>
      <c r="BV513" s="180"/>
    </row>
    <row r="514" spans="1:74">
      <c r="A514" s="154" t="s">
        <v>7768</v>
      </c>
      <c r="B514" s="224" t="s">
        <v>257</v>
      </c>
      <c r="C514" s="224" t="s">
        <v>405</v>
      </c>
      <c r="D514" s="224"/>
      <c r="E514" s="222">
        <v>1</v>
      </c>
      <c r="F514" s="225">
        <v>32</v>
      </c>
      <c r="G514" s="223"/>
      <c r="I514" s="253">
        <v>38</v>
      </c>
      <c r="S514" s="218">
        <v>1654.878784</v>
      </c>
      <c r="T514" s="180"/>
      <c r="Y514" s="218">
        <v>598.27721629999996</v>
      </c>
      <c r="Z514" s="180"/>
      <c r="AA514" s="218">
        <v>67579.228440000006</v>
      </c>
      <c r="AB514" s="180"/>
      <c r="AC514" s="252">
        <v>32.83630222</v>
      </c>
      <c r="AD514" s="180"/>
      <c r="AG514" s="218">
        <v>4.8589341690000003</v>
      </c>
      <c r="AH514" s="180"/>
      <c r="AM514" s="218">
        <v>83</v>
      </c>
      <c r="BS514" s="218">
        <v>50.397842400000002</v>
      </c>
      <c r="BT514" s="180"/>
      <c r="BU514" s="218">
        <v>18.219993599999999</v>
      </c>
      <c r="BV514" s="180"/>
    </row>
    <row r="515" spans="1:74">
      <c r="A515" s="154" t="s">
        <v>7768</v>
      </c>
      <c r="B515" s="224" t="s">
        <v>257</v>
      </c>
      <c r="C515" s="224" t="s">
        <v>7987</v>
      </c>
      <c r="D515" s="224"/>
      <c r="E515" s="222">
        <v>8</v>
      </c>
      <c r="F515" s="225">
        <v>44</v>
      </c>
      <c r="G515" s="223"/>
      <c r="I515" s="253">
        <v>38</v>
      </c>
      <c r="S515" s="218">
        <v>1995.0462789999999</v>
      </c>
      <c r="T515" s="180"/>
      <c r="Y515" s="218">
        <v>729.29969470000003</v>
      </c>
      <c r="Z515" s="180"/>
      <c r="AA515" s="218">
        <v>80790.184110000002</v>
      </c>
      <c r="AB515" s="180"/>
      <c r="AC515" s="252">
        <v>39.88159512</v>
      </c>
      <c r="AD515" s="180"/>
      <c r="AG515" s="218">
        <v>4.9364406780000003</v>
      </c>
      <c r="AH515" s="180"/>
      <c r="AM515" s="218">
        <v>83</v>
      </c>
      <c r="BS515" s="218">
        <v>50.024234800000002</v>
      </c>
      <c r="BT515" s="180"/>
      <c r="BU515" s="218">
        <v>18.286622999999999</v>
      </c>
      <c r="BV515" s="180"/>
    </row>
    <row r="516" spans="1:74">
      <c r="A516" s="154" t="s">
        <v>7768</v>
      </c>
      <c r="B516" s="224" t="s">
        <v>257</v>
      </c>
      <c r="C516" s="224" t="s">
        <v>7988</v>
      </c>
      <c r="D516" s="224"/>
      <c r="E516" s="223">
        <v>10</v>
      </c>
      <c r="F516" s="225">
        <v>29</v>
      </c>
      <c r="G516" s="223"/>
      <c r="I516" s="253">
        <v>37</v>
      </c>
      <c r="S516" s="218">
        <v>1879.028468</v>
      </c>
      <c r="T516" s="180"/>
      <c r="Y516" s="218">
        <v>674.28882380000005</v>
      </c>
      <c r="Z516" s="180"/>
      <c r="AA516" s="218">
        <v>76372.490980000002</v>
      </c>
      <c r="AB516" s="180"/>
      <c r="AC516" s="252">
        <v>37.702875300000002</v>
      </c>
      <c r="AD516" s="180"/>
      <c r="AG516" s="218">
        <v>4.9367088609999996</v>
      </c>
      <c r="AH516" s="180"/>
      <c r="AM516" s="218">
        <v>83</v>
      </c>
      <c r="BS516" s="218">
        <v>49.8378029</v>
      </c>
      <c r="BT516" s="180"/>
      <c r="BU516" s="218">
        <v>17.8842812</v>
      </c>
      <c r="BV516" s="180"/>
    </row>
    <row r="517" spans="1:74">
      <c r="A517" s="154" t="s">
        <v>7768</v>
      </c>
      <c r="B517" s="224" t="s">
        <v>257</v>
      </c>
      <c r="C517" s="224" t="s">
        <v>7989</v>
      </c>
      <c r="D517" s="224"/>
      <c r="E517" s="223">
        <v>15</v>
      </c>
      <c r="F517" s="225">
        <v>50</v>
      </c>
      <c r="G517" s="223"/>
      <c r="I517" s="253">
        <v>35</v>
      </c>
      <c r="S517" s="218">
        <v>1400.0308</v>
      </c>
      <c r="T517" s="180"/>
      <c r="Y517" s="218">
        <v>512.92880620000005</v>
      </c>
      <c r="Z517" s="180"/>
      <c r="AA517" s="218">
        <v>61971.16257</v>
      </c>
      <c r="AB517" s="180"/>
      <c r="AC517" s="252">
        <v>27.939332480000001</v>
      </c>
      <c r="AD517" s="180"/>
      <c r="AG517" s="218">
        <v>4.5084409140000004</v>
      </c>
      <c r="AH517" s="180"/>
      <c r="AM517" s="218">
        <v>83</v>
      </c>
      <c r="BS517" s="218">
        <v>50.109672500000002</v>
      </c>
      <c r="BT517" s="180"/>
      <c r="BU517" s="218">
        <v>18.3586636</v>
      </c>
      <c r="BV517" s="180"/>
    </row>
    <row r="518" spans="1:74">
      <c r="A518" s="154" t="s">
        <v>7768</v>
      </c>
      <c r="B518" s="224" t="s">
        <v>259</v>
      </c>
      <c r="C518" s="224" t="s">
        <v>405</v>
      </c>
      <c r="D518" s="224"/>
      <c r="E518" s="222">
        <v>1</v>
      </c>
      <c r="F518" s="225">
        <v>35</v>
      </c>
      <c r="G518" s="223"/>
      <c r="I518" s="253">
        <v>32</v>
      </c>
      <c r="S518" s="218">
        <v>1880.046517</v>
      </c>
      <c r="T518" s="180"/>
      <c r="Y518" s="218">
        <v>719.65980090000005</v>
      </c>
      <c r="Z518" s="180"/>
      <c r="AA518" s="218">
        <v>76682.281900000002</v>
      </c>
      <c r="AB518" s="180"/>
      <c r="AC518" s="252">
        <v>37.77131507</v>
      </c>
      <c r="AD518" s="180"/>
      <c r="AG518" s="218">
        <v>4.9256900210000003</v>
      </c>
      <c r="AH518" s="180"/>
      <c r="AM518" s="218">
        <v>83</v>
      </c>
      <c r="BS518" s="218">
        <v>49.774452199999999</v>
      </c>
      <c r="BT518" s="180"/>
      <c r="BU518" s="218">
        <v>19.053077699999999</v>
      </c>
      <c r="BV518" s="180"/>
    </row>
    <row r="519" spans="1:74">
      <c r="A519" s="154" t="s">
        <v>7768</v>
      </c>
      <c r="B519" s="224" t="s">
        <v>259</v>
      </c>
      <c r="C519" s="224" t="s">
        <v>7987</v>
      </c>
      <c r="D519" s="224"/>
      <c r="E519" s="222">
        <v>5</v>
      </c>
      <c r="F519" s="225">
        <v>26</v>
      </c>
      <c r="G519" s="223"/>
      <c r="I519" s="253">
        <v>34</v>
      </c>
      <c r="S519" s="218">
        <v>2256.3236040000002</v>
      </c>
      <c r="T519" s="180"/>
      <c r="Y519" s="218">
        <v>789.62122099999999</v>
      </c>
      <c r="Z519" s="180"/>
      <c r="AA519" s="218">
        <v>83739.491039999994</v>
      </c>
      <c r="AB519" s="180"/>
      <c r="AC519" s="252">
        <v>44.04951535</v>
      </c>
      <c r="AD519" s="180"/>
      <c r="AG519" s="218">
        <v>5.2603036879999996</v>
      </c>
      <c r="AH519" s="180"/>
      <c r="AM519" s="218">
        <v>83</v>
      </c>
      <c r="BS519" s="218">
        <v>51.222438799999999</v>
      </c>
      <c r="BT519" s="180"/>
      <c r="BU519" s="218">
        <v>17.925764099999999</v>
      </c>
      <c r="BV519" s="180"/>
    </row>
    <row r="520" spans="1:74">
      <c r="A520" s="154" t="s">
        <v>7768</v>
      </c>
      <c r="B520" s="224" t="s">
        <v>259</v>
      </c>
      <c r="C520" s="224" t="s">
        <v>7988</v>
      </c>
      <c r="D520" s="224"/>
      <c r="E520" s="222">
        <v>10</v>
      </c>
      <c r="F520" s="225">
        <v>38</v>
      </c>
      <c r="G520" s="223"/>
      <c r="I520" s="253">
        <v>40</v>
      </c>
      <c r="S520" s="218">
        <v>2004.2510299999999</v>
      </c>
      <c r="T520" s="180"/>
      <c r="Y520" s="218">
        <v>713.58538369999997</v>
      </c>
      <c r="Z520" s="180"/>
      <c r="AA520" s="218">
        <v>81349.340200000006</v>
      </c>
      <c r="AB520" s="180"/>
      <c r="AC520" s="252">
        <v>39.65354868</v>
      </c>
      <c r="AD520" s="180"/>
      <c r="AG520" s="218">
        <v>4.8744769870000004</v>
      </c>
      <c r="AH520" s="180"/>
      <c r="AM520" s="218">
        <v>83</v>
      </c>
      <c r="BS520" s="218">
        <v>50.544052100000002</v>
      </c>
      <c r="BT520" s="180"/>
      <c r="BU520" s="218">
        <v>17.995498699999999</v>
      </c>
      <c r="BV520" s="180"/>
    </row>
    <row r="521" spans="1:74">
      <c r="A521" s="154" t="s">
        <v>7768</v>
      </c>
      <c r="B521" s="224" t="s">
        <v>259</v>
      </c>
      <c r="C521" s="224" t="s">
        <v>7989</v>
      </c>
      <c r="D521" s="224"/>
      <c r="E521" s="222">
        <v>15</v>
      </c>
      <c r="F521" s="225">
        <v>20</v>
      </c>
      <c r="G521" s="223"/>
      <c r="I521" s="253">
        <v>31</v>
      </c>
      <c r="S521" s="218">
        <v>1990.0660600000001</v>
      </c>
      <c r="T521" s="180"/>
      <c r="Y521" s="218">
        <v>775.32186190000004</v>
      </c>
      <c r="Z521" s="180"/>
      <c r="AA521" s="218">
        <v>82447.082670000003</v>
      </c>
      <c r="AB521" s="180"/>
      <c r="AC521" s="252">
        <v>40.483519999999999</v>
      </c>
      <c r="AD521" s="180"/>
      <c r="AG521" s="218">
        <v>4.9102428720000004</v>
      </c>
      <c r="AH521" s="180"/>
      <c r="AM521" s="218">
        <v>87</v>
      </c>
      <c r="BS521" s="218">
        <v>49.157436400000002</v>
      </c>
      <c r="BT521" s="180"/>
      <c r="BU521" s="218">
        <v>19.1515427</v>
      </c>
      <c r="BV521" s="180"/>
    </row>
    <row r="522" spans="1:74">
      <c r="A522" s="154" t="s">
        <v>7869</v>
      </c>
      <c r="B522" s="224" t="s">
        <v>257</v>
      </c>
      <c r="C522" s="224" t="s">
        <v>405</v>
      </c>
      <c r="D522" s="224"/>
      <c r="E522" s="222">
        <v>4</v>
      </c>
      <c r="F522" s="225">
        <v>22</v>
      </c>
      <c r="G522" s="223"/>
      <c r="I522" s="253">
        <v>35</v>
      </c>
      <c r="S522" s="218">
        <v>1791.1611989999999</v>
      </c>
      <c r="T522" s="180"/>
      <c r="Y522" s="218">
        <v>728.87381749999997</v>
      </c>
      <c r="Z522" s="180"/>
      <c r="AA522" s="218">
        <v>74209.031749999995</v>
      </c>
      <c r="AB522" s="180"/>
      <c r="AC522" s="252">
        <v>37.384701</v>
      </c>
      <c r="AD522" s="180"/>
      <c r="AG522" s="218">
        <v>5.0377562029999998</v>
      </c>
      <c r="AH522" s="180"/>
      <c r="AM522" s="218">
        <v>89</v>
      </c>
      <c r="BS522" s="218">
        <v>47.911609599999998</v>
      </c>
      <c r="BT522" s="180"/>
      <c r="BU522" s="218">
        <v>19.496580099999999</v>
      </c>
      <c r="BV522" s="180"/>
    </row>
    <row r="523" spans="1:74">
      <c r="A523" s="154" t="s">
        <v>7869</v>
      </c>
      <c r="B523" s="224" t="s">
        <v>257</v>
      </c>
      <c r="C523" s="224" t="s">
        <v>7987</v>
      </c>
      <c r="D523" s="224"/>
      <c r="E523" s="223">
        <v>7</v>
      </c>
      <c r="F523" s="225">
        <v>64</v>
      </c>
      <c r="G523" s="223"/>
      <c r="I523" s="253">
        <v>31</v>
      </c>
      <c r="S523" s="218">
        <v>1498.5809400000001</v>
      </c>
      <c r="T523" s="180"/>
      <c r="Y523" s="218">
        <v>615.66399439999998</v>
      </c>
      <c r="Z523" s="180"/>
      <c r="AA523" s="218">
        <v>66098.975399999996</v>
      </c>
      <c r="AB523" s="180"/>
      <c r="AC523" s="252">
        <v>31.582895369999999</v>
      </c>
      <c r="AD523" s="180"/>
      <c r="AG523" s="218">
        <v>4.7781217749999998</v>
      </c>
      <c r="AH523" s="180"/>
      <c r="AM523" s="218">
        <v>92</v>
      </c>
      <c r="BS523" s="218">
        <v>47.449131000000001</v>
      </c>
      <c r="BT523" s="180"/>
      <c r="BU523" s="218">
        <v>19.493589400000001</v>
      </c>
      <c r="BV523" s="180"/>
    </row>
    <row r="524" spans="1:74">
      <c r="A524" s="154" t="s">
        <v>7869</v>
      </c>
      <c r="B524" s="224" t="s">
        <v>257</v>
      </c>
      <c r="C524" s="224" t="s">
        <v>7988</v>
      </c>
      <c r="D524" s="224"/>
      <c r="E524" s="222">
        <v>10</v>
      </c>
      <c r="F524" s="225">
        <v>2</v>
      </c>
      <c r="G524" s="223"/>
      <c r="I524" s="253">
        <v>35</v>
      </c>
      <c r="S524" s="218">
        <v>1158.495987</v>
      </c>
      <c r="T524" s="180"/>
      <c r="Y524" s="218">
        <v>444.55978549999998</v>
      </c>
      <c r="Z524" s="180"/>
      <c r="AA524" s="218">
        <v>48955.050300000003</v>
      </c>
      <c r="AB524" s="180"/>
      <c r="AC524" s="252">
        <v>24.0286385</v>
      </c>
      <c r="AD524" s="180"/>
      <c r="AG524" s="218">
        <v>4.9083063649999996</v>
      </c>
      <c r="AH524" s="180"/>
      <c r="AM524" s="218">
        <v>89</v>
      </c>
      <c r="BS524" s="218">
        <v>48.213134799999999</v>
      </c>
      <c r="BT524" s="180"/>
      <c r="BU524" s="218">
        <v>18.5012474</v>
      </c>
      <c r="BV524" s="180"/>
    </row>
    <row r="525" spans="1:74">
      <c r="A525" s="154" t="s">
        <v>7869</v>
      </c>
      <c r="B525" s="224" t="s">
        <v>257</v>
      </c>
      <c r="C525" s="224" t="s">
        <v>7989</v>
      </c>
      <c r="D525" s="224"/>
      <c r="E525" s="222">
        <v>15</v>
      </c>
      <c r="F525" s="225">
        <v>56</v>
      </c>
      <c r="G525" s="223"/>
      <c r="I525" s="253">
        <v>27</v>
      </c>
      <c r="S525" s="218">
        <v>1537.5090889999999</v>
      </c>
      <c r="T525" s="180"/>
      <c r="Y525" s="218">
        <v>594.06228969999995</v>
      </c>
      <c r="Z525" s="180"/>
      <c r="AA525" s="218">
        <v>64998.407550000004</v>
      </c>
      <c r="AB525" s="180"/>
      <c r="AC525" s="252">
        <v>31.816447400000001</v>
      </c>
      <c r="AD525" s="180"/>
      <c r="AG525" s="218">
        <v>4.8949579830000003</v>
      </c>
      <c r="AH525" s="180"/>
      <c r="AM525" s="218">
        <v>89</v>
      </c>
      <c r="BS525" s="218">
        <v>48.324348399999998</v>
      </c>
      <c r="BT525" s="180"/>
      <c r="BU525" s="218">
        <v>18.671546899999999</v>
      </c>
      <c r="BV525" s="180"/>
    </row>
    <row r="526" spans="1:74">
      <c r="A526" s="154" t="s">
        <v>7869</v>
      </c>
      <c r="B526" s="224" t="s">
        <v>259</v>
      </c>
      <c r="C526" s="224" t="s">
        <v>405</v>
      </c>
      <c r="D526" s="224"/>
      <c r="E526" s="222">
        <v>1</v>
      </c>
      <c r="F526" s="225">
        <v>49</v>
      </c>
      <c r="G526" s="223"/>
      <c r="I526" s="253">
        <v>31</v>
      </c>
      <c r="S526" s="218">
        <v>1587.61295</v>
      </c>
      <c r="T526" s="180"/>
      <c r="Y526" s="218">
        <v>652.03710969999997</v>
      </c>
      <c r="Z526" s="180"/>
      <c r="AA526" s="218">
        <v>71277.462090000001</v>
      </c>
      <c r="AB526" s="180"/>
      <c r="AC526" s="252">
        <v>33.340634770000001</v>
      </c>
      <c r="AD526" s="180"/>
      <c r="AG526" s="218">
        <v>4.6775844419999997</v>
      </c>
      <c r="AH526" s="180"/>
      <c r="AM526" s="218">
        <v>92</v>
      </c>
      <c r="BS526" s="218">
        <v>47.617958100000003</v>
      </c>
      <c r="BT526" s="180"/>
      <c r="BU526" s="218">
        <v>19.556829499999999</v>
      </c>
      <c r="BV526" s="180"/>
    </row>
    <row r="527" spans="1:74">
      <c r="A527" s="154" t="s">
        <v>7869</v>
      </c>
      <c r="B527" s="224" t="s">
        <v>259</v>
      </c>
      <c r="C527" s="224" t="s">
        <v>7987</v>
      </c>
      <c r="D527" s="224"/>
      <c r="E527" s="222">
        <v>8</v>
      </c>
      <c r="F527" s="225">
        <v>30</v>
      </c>
      <c r="G527" s="223"/>
      <c r="I527" s="253">
        <v>29</v>
      </c>
      <c r="S527" s="218">
        <v>1800.7205530000001</v>
      </c>
      <c r="T527" s="180"/>
      <c r="Y527" s="218">
        <v>730.25389289999998</v>
      </c>
      <c r="Z527" s="180"/>
      <c r="AA527" s="218">
        <v>72104.759999999995</v>
      </c>
      <c r="AB527" s="180"/>
      <c r="AC527" s="252">
        <v>37.003211999999998</v>
      </c>
      <c r="AD527" s="180"/>
      <c r="AG527" s="218">
        <v>5.1318681320000001</v>
      </c>
      <c r="AH527" s="180"/>
      <c r="AM527" s="218">
        <v>89</v>
      </c>
      <c r="BS527" s="218">
        <v>48.663898500000002</v>
      </c>
      <c r="BT527" s="180"/>
      <c r="BU527" s="218">
        <v>19.734878500000001</v>
      </c>
      <c r="BV527" s="180"/>
    </row>
    <row r="528" spans="1:74">
      <c r="A528" s="154" t="s">
        <v>7869</v>
      </c>
      <c r="B528" s="224" t="s">
        <v>259</v>
      </c>
      <c r="C528" s="224" t="s">
        <v>7988</v>
      </c>
      <c r="D528" s="224"/>
      <c r="E528" s="222">
        <v>11</v>
      </c>
      <c r="F528" s="225">
        <v>58</v>
      </c>
      <c r="G528" s="223"/>
      <c r="I528" s="253">
        <v>31</v>
      </c>
      <c r="S528" s="218">
        <v>1899.352267</v>
      </c>
      <c r="T528" s="180"/>
      <c r="Y528" s="218">
        <v>803.17863609999995</v>
      </c>
      <c r="Z528" s="180"/>
      <c r="AA528" s="218">
        <v>80329.852440000002</v>
      </c>
      <c r="AB528" s="180"/>
      <c r="AC528" s="252">
        <v>39.653271109999999</v>
      </c>
      <c r="AD528" s="180"/>
      <c r="AG528" s="218">
        <v>4.9363057320000001</v>
      </c>
      <c r="AH528" s="180"/>
      <c r="AM528" s="218">
        <v>89</v>
      </c>
      <c r="BS528" s="218">
        <v>47.899005899999999</v>
      </c>
      <c r="BT528" s="180"/>
      <c r="BU528" s="218">
        <v>20.2550411</v>
      </c>
      <c r="BV528" s="180"/>
    </row>
    <row r="529" spans="1:74">
      <c r="A529" s="154" t="s">
        <v>7869</v>
      </c>
      <c r="B529" s="224" t="s">
        <v>259</v>
      </c>
      <c r="C529" s="224" t="s">
        <v>7989</v>
      </c>
      <c r="D529" s="224"/>
      <c r="E529" s="223">
        <v>13</v>
      </c>
      <c r="F529" s="225">
        <v>27</v>
      </c>
      <c r="G529" s="223"/>
      <c r="I529" s="253">
        <v>32</v>
      </c>
      <c r="S529" s="218">
        <v>1889.247024</v>
      </c>
      <c r="T529" s="180"/>
      <c r="Y529" s="218">
        <v>744.92390179999995</v>
      </c>
      <c r="Z529" s="180"/>
      <c r="AA529" s="218">
        <v>83602.232910000006</v>
      </c>
      <c r="AB529" s="180"/>
      <c r="AC529" s="252">
        <v>39.207150939999998</v>
      </c>
      <c r="AD529" s="180"/>
      <c r="AG529" s="218">
        <v>4.689725331</v>
      </c>
      <c r="AH529" s="180"/>
      <c r="AM529" s="218">
        <v>105</v>
      </c>
      <c r="BS529" s="218">
        <v>48.186286899999999</v>
      </c>
      <c r="BT529" s="180"/>
      <c r="BU529" s="218">
        <v>18.9996948</v>
      </c>
      <c r="BV529" s="180"/>
    </row>
    <row r="530" spans="1:74">
      <c r="A530" s="154" t="s">
        <v>7769</v>
      </c>
      <c r="B530" s="224" t="s">
        <v>257</v>
      </c>
      <c r="C530" s="224" t="s">
        <v>405</v>
      </c>
      <c r="D530" s="224"/>
      <c r="E530" s="222">
        <v>1</v>
      </c>
      <c r="F530" s="225">
        <v>15</v>
      </c>
      <c r="G530" s="223"/>
      <c r="I530" s="253">
        <v>34</v>
      </c>
      <c r="S530" s="218">
        <v>1516.014545</v>
      </c>
      <c r="T530" s="180"/>
      <c r="Y530" s="218">
        <v>607.65966749999995</v>
      </c>
      <c r="Z530" s="180"/>
      <c r="AA530" s="218">
        <v>67554.110690000001</v>
      </c>
      <c r="AB530" s="180"/>
      <c r="AC530" s="252">
        <v>30.610456410000001</v>
      </c>
      <c r="AD530" s="180"/>
      <c r="AG530" s="218">
        <v>4.53125</v>
      </c>
      <c r="AH530" s="180"/>
      <c r="AM530" s="218">
        <v>92</v>
      </c>
      <c r="BS530" s="218">
        <v>49.526035299999997</v>
      </c>
      <c r="BT530" s="180"/>
      <c r="BU530" s="218">
        <v>19.851375600000001</v>
      </c>
      <c r="BV530" s="180"/>
    </row>
    <row r="531" spans="1:74">
      <c r="A531" s="154" t="s">
        <v>7769</v>
      </c>
      <c r="B531" s="224" t="s">
        <v>257</v>
      </c>
      <c r="C531" s="224" t="s">
        <v>7987</v>
      </c>
      <c r="D531" s="224"/>
      <c r="E531" s="222">
        <v>5</v>
      </c>
      <c r="F531" s="225">
        <v>50</v>
      </c>
      <c r="G531" s="223"/>
      <c r="I531" s="253">
        <v>40</v>
      </c>
      <c r="S531" s="218">
        <v>1403.6260360000001</v>
      </c>
      <c r="T531" s="180"/>
      <c r="Y531" s="218">
        <v>519.93783340000005</v>
      </c>
      <c r="Z531" s="180"/>
      <c r="AA531" s="218">
        <v>60780.478089999997</v>
      </c>
      <c r="AB531" s="180"/>
      <c r="AC531" s="252">
        <v>27.880398410000002</v>
      </c>
      <c r="AD531" s="180"/>
      <c r="AG531" s="218">
        <v>4.5870646769999999</v>
      </c>
      <c r="AH531" s="180"/>
      <c r="AM531" s="218">
        <v>92</v>
      </c>
      <c r="BS531" s="218">
        <v>50.344547300000002</v>
      </c>
      <c r="BT531" s="180"/>
      <c r="BU531" s="218">
        <v>18.648866699999999</v>
      </c>
      <c r="BV531" s="180"/>
    </row>
    <row r="532" spans="1:74">
      <c r="A532" s="154" t="s">
        <v>7769</v>
      </c>
      <c r="B532" s="224" t="s">
        <v>257</v>
      </c>
      <c r="C532" s="224" t="s">
        <v>7988</v>
      </c>
      <c r="D532" s="224"/>
      <c r="E532" s="222">
        <v>12</v>
      </c>
      <c r="F532" s="225">
        <v>28</v>
      </c>
      <c r="G532" s="223"/>
      <c r="I532" s="253">
        <v>32</v>
      </c>
      <c r="S532" s="218">
        <v>1523.6591209999999</v>
      </c>
      <c r="T532" s="180"/>
      <c r="Y532" s="218">
        <v>594.87371150000001</v>
      </c>
      <c r="Z532" s="180"/>
      <c r="AA532" s="218">
        <v>69896.190100000007</v>
      </c>
      <c r="AB532" s="180"/>
      <c r="AC532" s="252">
        <v>30.941085149999999</v>
      </c>
      <c r="AD532" s="180"/>
      <c r="AG532" s="218">
        <v>4.4267198399999996</v>
      </c>
      <c r="AH532" s="180"/>
      <c r="AM532" s="218">
        <v>89</v>
      </c>
      <c r="BS532" s="218">
        <v>49.243881199999997</v>
      </c>
      <c r="BT532" s="180"/>
      <c r="BU532" s="218">
        <v>19.226013200000001</v>
      </c>
      <c r="BV532" s="180"/>
    </row>
    <row r="533" spans="1:74">
      <c r="A533" s="154" t="s">
        <v>7769</v>
      </c>
      <c r="B533" s="224" t="s">
        <v>257</v>
      </c>
      <c r="C533" s="224" t="s">
        <v>7989</v>
      </c>
      <c r="D533" s="224"/>
      <c r="E533" s="222">
        <v>16</v>
      </c>
      <c r="F533" s="225">
        <v>51</v>
      </c>
      <c r="G533" s="223"/>
      <c r="I533" s="253">
        <v>38</v>
      </c>
      <c r="S533" s="218">
        <v>1489.2444860000001</v>
      </c>
      <c r="T533" s="180"/>
      <c r="Y533" s="218">
        <v>580.6727108</v>
      </c>
      <c r="Z533" s="180"/>
      <c r="AA533" s="218">
        <v>67828.233730000007</v>
      </c>
      <c r="AB533" s="180"/>
      <c r="AC533" s="252">
        <v>30.28160956</v>
      </c>
      <c r="AD533" s="180"/>
      <c r="AG533" s="218">
        <v>4.4644549759999999</v>
      </c>
      <c r="AH533" s="180"/>
      <c r="AM533" s="218">
        <v>94</v>
      </c>
      <c r="BS533" s="218">
        <v>49.179832500000003</v>
      </c>
      <c r="BT533" s="180"/>
      <c r="BU533" s="218">
        <v>19.1757545</v>
      </c>
      <c r="BV533" s="180"/>
    </row>
    <row r="534" spans="1:74">
      <c r="A534" s="154" t="s">
        <v>7769</v>
      </c>
      <c r="B534" s="224" t="s">
        <v>259</v>
      </c>
      <c r="C534" s="224" t="s">
        <v>405</v>
      </c>
      <c r="D534" s="224"/>
      <c r="E534" s="223">
        <v>3</v>
      </c>
      <c r="F534" s="225">
        <v>42</v>
      </c>
      <c r="G534" s="223"/>
      <c r="I534" s="253">
        <v>36</v>
      </c>
      <c r="S534" s="218">
        <v>1670.31386</v>
      </c>
      <c r="T534" s="180"/>
      <c r="Y534" s="218">
        <v>647.4383004</v>
      </c>
      <c r="Z534" s="180"/>
      <c r="AA534" s="218">
        <v>72265.497180000006</v>
      </c>
      <c r="AB534" s="180"/>
      <c r="AC534" s="252">
        <v>33.54670694</v>
      </c>
      <c r="AD534" s="180"/>
      <c r="AG534" s="218">
        <v>4.6421471170000004</v>
      </c>
      <c r="AH534" s="180"/>
      <c r="AM534" s="218">
        <v>92</v>
      </c>
      <c r="BS534" s="218">
        <v>49.790695200000002</v>
      </c>
      <c r="BT534" s="180"/>
      <c r="BU534" s="218">
        <v>19.299608200000002</v>
      </c>
      <c r="BV534" s="180"/>
    </row>
    <row r="535" spans="1:74">
      <c r="A535" s="154" t="s">
        <v>7769</v>
      </c>
      <c r="B535" s="224" t="s">
        <v>259</v>
      </c>
      <c r="C535" s="224" t="s">
        <v>7987</v>
      </c>
      <c r="D535" s="224"/>
      <c r="E535" s="223">
        <v>8</v>
      </c>
      <c r="F535" s="225">
        <v>18</v>
      </c>
      <c r="G535" s="223"/>
      <c r="I535" s="253">
        <v>38</v>
      </c>
      <c r="S535" s="218">
        <v>1581.528442</v>
      </c>
      <c r="T535" s="180"/>
      <c r="Y535" s="218">
        <v>642.81621329999996</v>
      </c>
      <c r="Z535" s="180"/>
      <c r="AA535" s="218">
        <v>69718.085609999995</v>
      </c>
      <c r="AB535" s="180"/>
      <c r="AC535" s="252">
        <v>32.339112</v>
      </c>
      <c r="AD535" s="180"/>
      <c r="AG535" s="218">
        <v>4.6385542170000003</v>
      </c>
      <c r="AH535" s="180"/>
      <c r="AM535" s="218">
        <v>92</v>
      </c>
      <c r="BS535" s="218">
        <v>48.904510500000001</v>
      </c>
      <c r="BT535" s="180"/>
      <c r="BU535" s="218">
        <v>19.8773613</v>
      </c>
      <c r="BV535" s="180"/>
    </row>
    <row r="536" spans="1:74">
      <c r="A536" s="154" t="s">
        <v>7769</v>
      </c>
      <c r="B536" s="224" t="s">
        <v>259</v>
      </c>
      <c r="C536" s="224" t="s">
        <v>7988</v>
      </c>
      <c r="D536" s="224"/>
      <c r="E536" s="222">
        <v>12</v>
      </c>
      <c r="F536" s="225">
        <v>62</v>
      </c>
      <c r="G536" s="223"/>
      <c r="I536" s="253">
        <v>38</v>
      </c>
      <c r="S536" s="218">
        <v>2004.434358</v>
      </c>
      <c r="T536" s="180"/>
      <c r="Y536" s="218">
        <v>809.37380169999994</v>
      </c>
      <c r="Z536" s="180"/>
      <c r="AA536" s="218">
        <v>87895.116989999995</v>
      </c>
      <c r="AB536" s="180"/>
      <c r="AC536" s="252">
        <v>41.100753089999998</v>
      </c>
      <c r="AD536" s="180"/>
      <c r="AG536" s="218">
        <v>4.6761133600000004</v>
      </c>
      <c r="AH536" s="180"/>
      <c r="AM536" s="218">
        <v>94</v>
      </c>
      <c r="BS536" s="218">
        <v>48.768798799999999</v>
      </c>
      <c r="BT536" s="180"/>
      <c r="BU536" s="218">
        <v>19.692432400000001</v>
      </c>
      <c r="BV536" s="180"/>
    </row>
    <row r="537" spans="1:74">
      <c r="A537" s="154" t="s">
        <v>7769</v>
      </c>
      <c r="B537" s="224" t="s">
        <v>259</v>
      </c>
      <c r="C537" s="224" t="s">
        <v>7989</v>
      </c>
      <c r="D537" s="224"/>
      <c r="E537" s="222">
        <v>16</v>
      </c>
      <c r="F537" s="225">
        <v>25</v>
      </c>
      <c r="G537" s="223"/>
      <c r="I537" s="253">
        <v>41</v>
      </c>
      <c r="S537" s="218">
        <v>1667.9248709999999</v>
      </c>
      <c r="T537" s="180"/>
      <c r="Y537" s="218">
        <v>701.46414589999995</v>
      </c>
      <c r="Z537" s="180"/>
      <c r="AA537" s="218">
        <v>72744.743109999996</v>
      </c>
      <c r="AB537" s="180"/>
      <c r="AC537" s="252">
        <v>34.159042659999997</v>
      </c>
      <c r="AD537" s="180"/>
      <c r="AG537" s="218">
        <v>4.6957403649999998</v>
      </c>
      <c r="AH537" s="180"/>
      <c r="AM537" s="218">
        <v>92</v>
      </c>
      <c r="BS537" s="218">
        <v>48.8282089</v>
      </c>
      <c r="BT537" s="180"/>
      <c r="BU537" s="218">
        <v>20.5352402</v>
      </c>
      <c r="BV537" s="180"/>
    </row>
    <row r="538" spans="1:74">
      <c r="A538" s="154" t="s">
        <v>7770</v>
      </c>
      <c r="B538" s="224" t="s">
        <v>257</v>
      </c>
      <c r="C538" s="224" t="s">
        <v>405</v>
      </c>
      <c r="D538" s="224"/>
      <c r="E538" s="222">
        <v>2</v>
      </c>
      <c r="F538" s="225">
        <v>1</v>
      </c>
      <c r="G538" s="223"/>
      <c r="I538" s="253">
        <v>35</v>
      </c>
      <c r="S538" s="218">
        <v>1441.8091039999999</v>
      </c>
      <c r="T538" s="180"/>
      <c r="Y538" s="218">
        <v>528.72932920000005</v>
      </c>
      <c r="Z538" s="180"/>
      <c r="AA538" s="218">
        <v>55921.5455</v>
      </c>
      <c r="AB538" s="180"/>
      <c r="AC538" s="252">
        <v>29.26201189</v>
      </c>
      <c r="AD538" s="180"/>
      <c r="AG538" s="218">
        <v>5.2326901250000004</v>
      </c>
      <c r="AH538" s="180"/>
      <c r="AM538" s="218">
        <v>105</v>
      </c>
      <c r="BS538" s="218">
        <v>49.272384600000002</v>
      </c>
      <c r="BT538" s="180"/>
      <c r="BU538" s="218">
        <v>18.068796200000001</v>
      </c>
      <c r="BV538" s="180"/>
    </row>
    <row r="539" spans="1:74">
      <c r="A539" s="154" t="s">
        <v>7770</v>
      </c>
      <c r="B539" s="224" t="s">
        <v>257</v>
      </c>
      <c r="C539" s="224" t="s">
        <v>7987</v>
      </c>
      <c r="D539" s="224"/>
      <c r="E539" s="222">
        <v>6</v>
      </c>
      <c r="F539" s="225">
        <v>35</v>
      </c>
      <c r="G539" s="223"/>
      <c r="I539" s="253">
        <v>41</v>
      </c>
      <c r="S539" s="218">
        <v>1329.8682980000001</v>
      </c>
      <c r="T539" s="180"/>
      <c r="Y539" s="218">
        <v>475.27886999999998</v>
      </c>
      <c r="Z539" s="180"/>
      <c r="AA539" s="218">
        <v>48893.140209999998</v>
      </c>
      <c r="AB539" s="180"/>
      <c r="AC539" s="252">
        <v>26.418067690000001</v>
      </c>
      <c r="AD539" s="180"/>
      <c r="AG539" s="218">
        <v>5.403225806</v>
      </c>
      <c r="AH539" s="180"/>
      <c r="AM539" s="218">
        <v>105</v>
      </c>
      <c r="BS539" s="218">
        <v>50.339347799999999</v>
      </c>
      <c r="BT539" s="180"/>
      <c r="BU539" s="218">
        <v>17.990675</v>
      </c>
      <c r="BV539" s="180"/>
    </row>
    <row r="540" spans="1:74">
      <c r="A540" s="154" t="s">
        <v>7770</v>
      </c>
      <c r="B540" s="224" t="s">
        <v>257</v>
      </c>
      <c r="C540" s="224" t="s">
        <v>7988</v>
      </c>
      <c r="D540" s="224"/>
      <c r="E540" s="223">
        <v>11</v>
      </c>
      <c r="F540" s="225">
        <v>12</v>
      </c>
      <c r="G540" s="223"/>
      <c r="I540" s="253">
        <v>38</v>
      </c>
      <c r="S540" s="218">
        <v>1270.9360099999999</v>
      </c>
      <c r="T540" s="180"/>
      <c r="Y540" s="218">
        <v>406.01574190000002</v>
      </c>
      <c r="Z540" s="180"/>
      <c r="AA540" s="218">
        <v>46179.123809999997</v>
      </c>
      <c r="AB540" s="180"/>
      <c r="AC540" s="252">
        <v>24.28834277</v>
      </c>
      <c r="AD540" s="180"/>
      <c r="AG540" s="218">
        <v>5.259593679</v>
      </c>
      <c r="AH540" s="180"/>
      <c r="AM540" s="218">
        <v>101</v>
      </c>
      <c r="BS540" s="218">
        <v>52.326995799999999</v>
      </c>
      <c r="BT540" s="180"/>
      <c r="BU540" s="218">
        <v>16.716486</v>
      </c>
      <c r="BV540" s="180"/>
    </row>
    <row r="541" spans="1:74">
      <c r="A541" s="154" t="s">
        <v>7770</v>
      </c>
      <c r="B541" s="224" t="s">
        <v>257</v>
      </c>
      <c r="C541" s="224" t="s">
        <v>7989</v>
      </c>
      <c r="D541" s="224"/>
      <c r="E541" s="223">
        <v>15</v>
      </c>
      <c r="F541" s="225">
        <v>49</v>
      </c>
      <c r="G541" s="223"/>
      <c r="I541" s="253">
        <v>36</v>
      </c>
      <c r="S541" s="218">
        <v>1713.645978</v>
      </c>
      <c r="T541" s="180"/>
      <c r="Y541" s="218">
        <v>620.81398850000005</v>
      </c>
      <c r="Z541" s="180"/>
      <c r="AA541" s="218">
        <v>65880.478090000004</v>
      </c>
      <c r="AB541" s="180"/>
      <c r="AC541" s="252">
        <v>34.038247009999999</v>
      </c>
      <c r="AD541" s="180"/>
      <c r="AG541" s="218">
        <v>5.1666666670000003</v>
      </c>
      <c r="AH541" s="180"/>
      <c r="AM541" s="218">
        <v>107</v>
      </c>
      <c r="BS541" s="218">
        <v>50.344718899999997</v>
      </c>
      <c r="BT541" s="180"/>
      <c r="BU541" s="218">
        <v>18.238717999999999</v>
      </c>
      <c r="BV541" s="180"/>
    </row>
    <row r="542" spans="1:74">
      <c r="A542" s="154" t="s">
        <v>7770</v>
      </c>
      <c r="B542" s="224" t="s">
        <v>259</v>
      </c>
      <c r="C542" s="224" t="s">
        <v>405</v>
      </c>
      <c r="D542" s="224"/>
      <c r="E542" s="222">
        <v>4</v>
      </c>
      <c r="F542" s="225">
        <v>55</v>
      </c>
      <c r="G542" s="223"/>
      <c r="I542" s="253">
        <v>35</v>
      </c>
      <c r="S542" s="218">
        <v>1489.994113</v>
      </c>
      <c r="T542" s="180"/>
      <c r="Y542" s="218">
        <v>593.72657589999994</v>
      </c>
      <c r="Z542" s="180"/>
      <c r="AA542" s="218">
        <v>61843.815340000001</v>
      </c>
      <c r="AB542" s="180"/>
      <c r="AC542" s="252">
        <v>30.2447856</v>
      </c>
      <c r="AD542" s="180"/>
      <c r="AG542" s="218">
        <v>4.8905109490000003</v>
      </c>
      <c r="AH542" s="180"/>
      <c r="AM542" s="218">
        <v>105</v>
      </c>
      <c r="BS542" s="218">
        <v>49.264495799999999</v>
      </c>
      <c r="BT542" s="180"/>
      <c r="BU542" s="218">
        <v>19.6307087</v>
      </c>
      <c r="BV542" s="180"/>
    </row>
    <row r="543" spans="1:74">
      <c r="A543" s="154" t="s">
        <v>7770</v>
      </c>
      <c r="B543" s="224" t="s">
        <v>259</v>
      </c>
      <c r="C543" s="224" t="s">
        <v>7987</v>
      </c>
      <c r="D543" s="224"/>
      <c r="E543" s="222">
        <v>7</v>
      </c>
      <c r="F543" s="225">
        <v>29</v>
      </c>
      <c r="G543" s="223"/>
      <c r="I543" s="253">
        <v>35</v>
      </c>
      <c r="S543" s="218">
        <v>1429.17001</v>
      </c>
      <c r="T543" s="180"/>
      <c r="Y543" s="218">
        <v>577.66556539999999</v>
      </c>
      <c r="Z543" s="180"/>
      <c r="AA543" s="218">
        <v>56829.717190000003</v>
      </c>
      <c r="AB543" s="180"/>
      <c r="AC543" s="252">
        <v>29.700598800000002</v>
      </c>
      <c r="AD543" s="180"/>
      <c r="AG543" s="218">
        <v>5.2262443440000004</v>
      </c>
      <c r="AH543" s="180"/>
      <c r="AM543" s="218">
        <v>105</v>
      </c>
      <c r="BS543" s="218">
        <v>48.119232199999999</v>
      </c>
      <c r="BT543" s="180"/>
      <c r="BU543" s="218">
        <v>19.449626899999998</v>
      </c>
      <c r="BV543" s="180"/>
    </row>
    <row r="544" spans="1:74">
      <c r="A544" s="154" t="s">
        <v>7770</v>
      </c>
      <c r="B544" s="224" t="s">
        <v>259</v>
      </c>
      <c r="C544" s="224" t="s">
        <v>7988</v>
      </c>
      <c r="D544" s="224"/>
      <c r="E544" s="222">
        <v>11</v>
      </c>
      <c r="F544" s="225">
        <v>42</v>
      </c>
      <c r="G544" s="223"/>
      <c r="I544" s="253">
        <v>37</v>
      </c>
      <c r="S544" s="218">
        <v>1734.1081670000001</v>
      </c>
      <c r="T544" s="180"/>
      <c r="Y544" s="218">
        <v>652.17585059999999</v>
      </c>
      <c r="Z544" s="180"/>
      <c r="AA544" s="218">
        <v>66958.944170000002</v>
      </c>
      <c r="AB544" s="180"/>
      <c r="AC544" s="252">
        <v>35.257477950000002</v>
      </c>
      <c r="AD544" s="180"/>
      <c r="AG544" s="218">
        <v>5.2655367230000003</v>
      </c>
      <c r="AH544" s="180"/>
      <c r="AM544" s="218">
        <v>105</v>
      </c>
      <c r="BS544" s="218">
        <v>49.184123999999997</v>
      </c>
      <c r="BT544" s="180"/>
      <c r="BU544" s="218">
        <v>18.497518500000002</v>
      </c>
      <c r="BV544" s="180"/>
    </row>
    <row r="545" spans="1:74">
      <c r="A545" s="154" t="s">
        <v>7770</v>
      </c>
      <c r="B545" s="224" t="s">
        <v>259</v>
      </c>
      <c r="C545" s="224" t="s">
        <v>7989</v>
      </c>
      <c r="D545" s="224"/>
      <c r="E545" s="222">
        <v>13</v>
      </c>
      <c r="F545" s="225">
        <v>26</v>
      </c>
      <c r="G545" s="223"/>
      <c r="I545" s="253">
        <v>37</v>
      </c>
      <c r="S545" s="218">
        <v>1659.6660569999999</v>
      </c>
      <c r="T545" s="180"/>
      <c r="Y545" s="218">
        <v>592.35521440000002</v>
      </c>
      <c r="Z545" s="180"/>
      <c r="AA545" s="218">
        <v>66674.285329999999</v>
      </c>
      <c r="AB545" s="180"/>
      <c r="AC545" s="252">
        <v>33.085405880000003</v>
      </c>
      <c r="AD545" s="180"/>
      <c r="AG545" s="218">
        <v>4.9622437970000002</v>
      </c>
      <c r="AH545" s="180"/>
      <c r="AM545" s="218">
        <v>101</v>
      </c>
      <c r="BS545" s="218">
        <v>50.163085899999999</v>
      </c>
      <c r="BT545" s="180"/>
      <c r="BU545" s="218">
        <v>17.903821900000001</v>
      </c>
      <c r="BV545" s="180"/>
    </row>
    <row r="546" spans="1:74">
      <c r="A546" s="154" t="s">
        <v>7771</v>
      </c>
      <c r="B546" s="224" t="s">
        <v>257</v>
      </c>
      <c r="C546" s="224" t="s">
        <v>405</v>
      </c>
      <c r="D546" s="224"/>
      <c r="E546" s="223">
        <v>4</v>
      </c>
      <c r="F546" s="225">
        <v>7</v>
      </c>
      <c r="G546" s="223"/>
      <c r="I546" s="253">
        <v>24</v>
      </c>
      <c r="S546" s="218">
        <v>1694.257372</v>
      </c>
      <c r="T546" s="180"/>
      <c r="Y546" s="218">
        <v>610.87681429999998</v>
      </c>
      <c r="Z546" s="180"/>
      <c r="AA546" s="218">
        <v>71395.591979999997</v>
      </c>
      <c r="AB546" s="180"/>
      <c r="AC546" s="252">
        <v>33.521101109999996</v>
      </c>
      <c r="AD546" s="180"/>
      <c r="AG546" s="218">
        <v>4.695121951</v>
      </c>
      <c r="AH546" s="180"/>
      <c r="AM546" s="218">
        <v>83</v>
      </c>
      <c r="BS546" s="218">
        <v>50.543010700000004</v>
      </c>
      <c r="BT546" s="180"/>
      <c r="BU546" s="218">
        <v>18.223649999999999</v>
      </c>
      <c r="BV546" s="180"/>
    </row>
    <row r="547" spans="1:74">
      <c r="A547" s="154" t="s">
        <v>7771</v>
      </c>
      <c r="B547" s="224" t="s">
        <v>257</v>
      </c>
      <c r="C547" s="224" t="s">
        <v>7987</v>
      </c>
      <c r="D547" s="224"/>
      <c r="E547" s="223">
        <v>6</v>
      </c>
      <c r="F547" s="225">
        <v>53</v>
      </c>
      <c r="G547" s="223"/>
      <c r="I547" s="253">
        <v>26</v>
      </c>
      <c r="S547" s="218">
        <v>1831.285985</v>
      </c>
      <c r="T547" s="180"/>
      <c r="Y547" s="218">
        <v>672.60317450000002</v>
      </c>
      <c r="Z547" s="180"/>
      <c r="AA547" s="218">
        <v>80003.904200000004</v>
      </c>
      <c r="AB547" s="180"/>
      <c r="AC547" s="252">
        <v>36.767080229999998</v>
      </c>
      <c r="AD547" s="180"/>
      <c r="AG547" s="218">
        <v>4.5956607500000004</v>
      </c>
      <c r="AH547" s="180"/>
      <c r="AM547" s="218">
        <v>83</v>
      </c>
      <c r="BS547" s="218">
        <v>49.807762099999998</v>
      </c>
      <c r="BT547" s="180"/>
      <c r="BU547" s="218">
        <v>18.293624900000001</v>
      </c>
      <c r="BV547" s="180"/>
    </row>
    <row r="548" spans="1:74">
      <c r="A548" s="154" t="s">
        <v>7771</v>
      </c>
      <c r="B548" s="224" t="s">
        <v>257</v>
      </c>
      <c r="C548" s="224" t="s">
        <v>7988</v>
      </c>
      <c r="D548" s="224"/>
      <c r="E548" s="222">
        <v>10</v>
      </c>
      <c r="F548" s="225">
        <v>32</v>
      </c>
      <c r="G548" s="223"/>
      <c r="I548" s="253">
        <v>16</v>
      </c>
      <c r="S548" s="218">
        <v>1410.569387</v>
      </c>
      <c r="T548" s="180"/>
      <c r="Y548" s="218">
        <v>480.89657620000003</v>
      </c>
      <c r="Z548" s="180"/>
      <c r="AA548" s="218">
        <v>56282.743159999998</v>
      </c>
      <c r="AB548" s="180"/>
      <c r="AC548" s="252">
        <v>27.84263091</v>
      </c>
      <c r="AD548" s="180"/>
      <c r="AG548" s="218">
        <v>4.946921444</v>
      </c>
      <c r="AH548" s="180"/>
      <c r="AM548" s="218">
        <v>83</v>
      </c>
      <c r="BS548" s="218">
        <v>50.662216200000003</v>
      </c>
      <c r="BT548" s="180"/>
      <c r="BU548" s="218">
        <v>17.271951699999999</v>
      </c>
      <c r="BV548" s="180"/>
    </row>
    <row r="549" spans="1:74">
      <c r="A549" s="154" t="s">
        <v>7771</v>
      </c>
      <c r="B549" s="224" t="s">
        <v>257</v>
      </c>
      <c r="C549" s="224" t="s">
        <v>7989</v>
      </c>
      <c r="D549" s="224"/>
      <c r="E549" s="222">
        <v>14</v>
      </c>
      <c r="F549" s="225">
        <v>59</v>
      </c>
      <c r="G549" s="223"/>
      <c r="I549" s="253">
        <v>26</v>
      </c>
      <c r="S549" s="218">
        <v>1714.1284559999999</v>
      </c>
      <c r="T549" s="180"/>
      <c r="Y549" s="218">
        <v>589.88311190000002</v>
      </c>
      <c r="Z549" s="180"/>
      <c r="AA549" s="218">
        <v>78471.086219999997</v>
      </c>
      <c r="AB549" s="180"/>
      <c r="AC549" s="252">
        <v>33.61983978</v>
      </c>
      <c r="AD549" s="180"/>
      <c r="AG549" s="218">
        <v>4.2843601900000001</v>
      </c>
      <c r="AH549" s="180"/>
      <c r="AM549" s="218">
        <v>87</v>
      </c>
      <c r="BS549" s="218">
        <v>50.985622399999997</v>
      </c>
      <c r="BT549" s="180"/>
      <c r="BU549" s="218">
        <v>17.5456848</v>
      </c>
      <c r="BV549" s="180"/>
    </row>
    <row r="550" spans="1:74">
      <c r="A550" s="154" t="s">
        <v>7771</v>
      </c>
      <c r="B550" s="224" t="s">
        <v>259</v>
      </c>
      <c r="C550" s="224" t="s">
        <v>405</v>
      </c>
      <c r="D550" s="224"/>
      <c r="E550" s="222">
        <v>4</v>
      </c>
      <c r="F550" s="225">
        <v>49</v>
      </c>
      <c r="G550" s="223"/>
      <c r="I550" s="253">
        <v>21</v>
      </c>
      <c r="S550" s="218">
        <v>1768.109336</v>
      </c>
      <c r="T550" s="180"/>
      <c r="Y550" s="218">
        <v>670.79629009999996</v>
      </c>
      <c r="Z550" s="180"/>
      <c r="AA550" s="218">
        <v>75087.169380000007</v>
      </c>
      <c r="AB550" s="180"/>
      <c r="AC550" s="252">
        <v>35.375414139999997</v>
      </c>
      <c r="AD550" s="180"/>
      <c r="AG550" s="218">
        <v>4.7112462009999998</v>
      </c>
      <c r="AH550" s="180"/>
      <c r="AM550" s="218">
        <v>83</v>
      </c>
      <c r="BS550" s="218">
        <v>49.981304199999997</v>
      </c>
      <c r="BT550" s="180"/>
      <c r="BU550" s="218">
        <v>18.962217299999999</v>
      </c>
      <c r="BV550" s="180"/>
    </row>
    <row r="551" spans="1:74">
      <c r="A551" s="154" t="s">
        <v>7771</v>
      </c>
      <c r="B551" s="224" t="s">
        <v>259</v>
      </c>
      <c r="C551" s="224" t="s">
        <v>7987</v>
      </c>
      <c r="D551" s="224"/>
      <c r="E551" s="222">
        <v>5</v>
      </c>
      <c r="F551" s="225">
        <v>4</v>
      </c>
      <c r="G551" s="223"/>
      <c r="I551" s="253">
        <v>20</v>
      </c>
      <c r="S551" s="218">
        <v>2434.2200819999998</v>
      </c>
      <c r="T551" s="180"/>
      <c r="Y551" s="218">
        <v>902.90575999999999</v>
      </c>
      <c r="Z551" s="180"/>
      <c r="AA551" s="218">
        <v>104384.545</v>
      </c>
      <c r="AB551" s="180"/>
      <c r="AC551" s="252">
        <v>48.7475825</v>
      </c>
      <c r="AD551" s="180"/>
      <c r="AG551" s="218">
        <v>4.67</v>
      </c>
      <c r="AH551" s="180"/>
      <c r="AM551" s="218">
        <v>83</v>
      </c>
      <c r="BS551" s="218">
        <v>49.935195899999997</v>
      </c>
      <c r="BT551" s="180"/>
      <c r="BU551" s="218">
        <v>18.522062300000002</v>
      </c>
      <c r="BV551" s="180"/>
    </row>
    <row r="552" spans="1:74">
      <c r="A552" s="154" t="s">
        <v>7771</v>
      </c>
      <c r="B552" s="224" t="s">
        <v>259</v>
      </c>
      <c r="C552" s="224" t="s">
        <v>7988</v>
      </c>
      <c r="D552" s="224"/>
      <c r="E552" s="223">
        <v>12</v>
      </c>
      <c r="F552" s="225">
        <v>63</v>
      </c>
      <c r="G552" s="223"/>
      <c r="I552" s="253">
        <v>22</v>
      </c>
      <c r="S552" s="218">
        <v>1935.489053</v>
      </c>
      <c r="T552" s="180"/>
      <c r="Y552" s="218">
        <v>750.54784549999999</v>
      </c>
      <c r="Z552" s="180"/>
      <c r="AA552" s="218">
        <v>86065.529389999996</v>
      </c>
      <c r="AB552" s="180"/>
      <c r="AC552" s="252">
        <v>39.237010419999997</v>
      </c>
      <c r="AD552" s="180"/>
      <c r="AG552" s="218">
        <v>4.5589692770000001</v>
      </c>
      <c r="AH552" s="180"/>
      <c r="AM552" s="218">
        <v>87</v>
      </c>
      <c r="BS552" s="218">
        <v>49.328147899999998</v>
      </c>
      <c r="BT552" s="180"/>
      <c r="BU552" s="218">
        <v>19.128568600000001</v>
      </c>
      <c r="BV552" s="180"/>
    </row>
    <row r="553" spans="1:74">
      <c r="A553" s="154" t="s">
        <v>7771</v>
      </c>
      <c r="B553" s="224" t="s">
        <v>259</v>
      </c>
      <c r="C553" s="224" t="s">
        <v>7989</v>
      </c>
      <c r="D553" s="224"/>
      <c r="E553" s="223">
        <v>15</v>
      </c>
      <c r="F553" s="225">
        <v>18</v>
      </c>
      <c r="G553" s="223"/>
      <c r="I553" s="253">
        <v>24</v>
      </c>
      <c r="S553" s="218">
        <v>1601.5539940000001</v>
      </c>
      <c r="T553" s="180"/>
      <c r="Y553" s="218">
        <v>596.18688650000001</v>
      </c>
      <c r="Z553" s="180"/>
      <c r="AA553" s="218">
        <v>68071.777780000004</v>
      </c>
      <c r="AB553" s="180"/>
      <c r="AC553" s="252">
        <v>32.218777780000003</v>
      </c>
      <c r="AD553" s="180"/>
      <c r="AG553" s="218">
        <v>4.7330595479999999</v>
      </c>
      <c r="AH553" s="180"/>
      <c r="AM553" s="218">
        <v>83</v>
      </c>
      <c r="BS553" s="218">
        <v>49.708713500000002</v>
      </c>
      <c r="BT553" s="180"/>
      <c r="BU553" s="218">
        <v>18.5043297</v>
      </c>
      <c r="BV553" s="180"/>
    </row>
    <row r="554" spans="1:74">
      <c r="A554" s="154" t="s">
        <v>7772</v>
      </c>
      <c r="B554" s="224" t="s">
        <v>257</v>
      </c>
      <c r="C554" s="224" t="s">
        <v>405</v>
      </c>
      <c r="D554" s="224"/>
      <c r="E554" s="222">
        <v>2</v>
      </c>
      <c r="F554" s="225">
        <v>8</v>
      </c>
      <c r="G554" s="223"/>
      <c r="I554" s="253">
        <v>35</v>
      </c>
      <c r="S554" s="218">
        <v>1743.0530200000001</v>
      </c>
      <c r="T554" s="180"/>
      <c r="Y554" s="218">
        <v>565.50407919999998</v>
      </c>
      <c r="Z554" s="180"/>
      <c r="AA554" s="218">
        <v>70796.320200000002</v>
      </c>
      <c r="AB554" s="180"/>
      <c r="AC554" s="252">
        <v>33.631931739999999</v>
      </c>
      <c r="AD554" s="180"/>
      <c r="AG554" s="218">
        <v>4.7505197509999997</v>
      </c>
      <c r="AH554" s="180"/>
      <c r="AM554" s="218">
        <v>94</v>
      </c>
      <c r="BS554" s="218">
        <v>51.827323900000003</v>
      </c>
      <c r="BT554" s="180"/>
      <c r="BU554" s="218">
        <v>16.8144989</v>
      </c>
      <c r="BV554" s="180"/>
    </row>
    <row r="555" spans="1:74">
      <c r="A555" s="154" t="s">
        <v>7772</v>
      </c>
      <c r="B555" s="224" t="s">
        <v>257</v>
      </c>
      <c r="C555" s="224" t="s">
        <v>7987</v>
      </c>
      <c r="D555" s="224"/>
      <c r="E555" s="222">
        <v>8</v>
      </c>
      <c r="F555" s="225">
        <v>54</v>
      </c>
      <c r="G555" s="223"/>
      <c r="I555" s="253">
        <v>33</v>
      </c>
      <c r="S555" s="218">
        <v>2211.9329400000001</v>
      </c>
      <c r="T555" s="180"/>
      <c r="Y555" s="218">
        <v>808.50972139999999</v>
      </c>
      <c r="Z555" s="180"/>
      <c r="AA555" s="218">
        <v>93157.684500000003</v>
      </c>
      <c r="AB555" s="180"/>
      <c r="AC555" s="252">
        <v>44.450874839999997</v>
      </c>
      <c r="AD555" s="180"/>
      <c r="AG555" s="218">
        <v>4.7715736040000003</v>
      </c>
      <c r="AH555" s="180"/>
      <c r="AM555" s="218">
        <v>94</v>
      </c>
      <c r="BS555" s="218">
        <v>49.761291499999999</v>
      </c>
      <c r="BT555" s="180"/>
      <c r="BU555" s="218">
        <v>18.188837100000001</v>
      </c>
      <c r="BV555" s="180"/>
    </row>
    <row r="556" spans="1:74">
      <c r="A556" s="154" t="s">
        <v>7772</v>
      </c>
      <c r="B556" s="224" t="s">
        <v>257</v>
      </c>
      <c r="C556" s="224" t="s">
        <v>7988</v>
      </c>
      <c r="D556" s="224"/>
      <c r="E556" s="222">
        <v>10</v>
      </c>
      <c r="F556" s="225">
        <v>31</v>
      </c>
      <c r="G556" s="223"/>
      <c r="I556" s="253">
        <v>39</v>
      </c>
      <c r="S556" s="218">
        <v>1709.7597720000001</v>
      </c>
      <c r="T556" s="180"/>
      <c r="Y556" s="218">
        <v>560.51574970000001</v>
      </c>
      <c r="Z556" s="180"/>
      <c r="AA556" s="218">
        <v>66001.543409999998</v>
      </c>
      <c r="AB556" s="180"/>
      <c r="AC556" s="252">
        <v>33.361042140000002</v>
      </c>
      <c r="AD556" s="180"/>
      <c r="AG556" s="218">
        <v>5.0545851529999997</v>
      </c>
      <c r="AH556" s="180"/>
      <c r="AM556" s="218">
        <v>92</v>
      </c>
      <c r="BS556" s="218">
        <v>51.250190699999997</v>
      </c>
      <c r="BT556" s="180"/>
      <c r="BU556" s="218">
        <v>16.801506</v>
      </c>
      <c r="BV556" s="180"/>
    </row>
    <row r="557" spans="1:74">
      <c r="A557" s="154" t="s">
        <v>7772</v>
      </c>
      <c r="B557" s="224" t="s">
        <v>257</v>
      </c>
      <c r="C557" s="224" t="s">
        <v>7989</v>
      </c>
      <c r="D557" s="224"/>
      <c r="E557" s="222">
        <v>16</v>
      </c>
      <c r="F557" s="225">
        <v>60</v>
      </c>
      <c r="G557" s="223"/>
      <c r="I557" s="253">
        <v>32</v>
      </c>
      <c r="S557" s="218">
        <v>2017.3787669999999</v>
      </c>
      <c r="T557" s="180"/>
      <c r="Y557" s="218">
        <v>668.47815600000001</v>
      </c>
      <c r="Z557" s="180"/>
      <c r="AA557" s="218">
        <v>84967.155729999999</v>
      </c>
      <c r="AB557" s="180"/>
      <c r="AC557" s="252">
        <v>39.26127056</v>
      </c>
      <c r="AD557" s="180"/>
      <c r="AG557" s="218">
        <v>4.6207584830000004</v>
      </c>
      <c r="AH557" s="180"/>
      <c r="AM557" s="218">
        <v>92</v>
      </c>
      <c r="BS557" s="218">
        <v>51.383430500000003</v>
      </c>
      <c r="BT557" s="180"/>
      <c r="BU557" s="218">
        <v>17.026401499999999</v>
      </c>
      <c r="BV557" s="180"/>
    </row>
    <row r="558" spans="1:74">
      <c r="A558" s="154" t="s">
        <v>7772</v>
      </c>
      <c r="B558" s="224" t="s">
        <v>259</v>
      </c>
      <c r="C558" s="224" t="s">
        <v>405</v>
      </c>
      <c r="D558" s="224"/>
      <c r="E558" s="223">
        <v>3</v>
      </c>
      <c r="F558" s="225">
        <v>34</v>
      </c>
      <c r="G558" s="223"/>
      <c r="I558" s="253">
        <v>33</v>
      </c>
      <c r="S558" s="218">
        <v>2175.048773</v>
      </c>
      <c r="T558" s="180"/>
      <c r="Y558" s="218">
        <v>802.49366199999997</v>
      </c>
      <c r="Z558" s="180"/>
      <c r="AA558" s="218">
        <v>91094.227540000007</v>
      </c>
      <c r="AB558" s="180"/>
      <c r="AC558" s="252">
        <v>43.766465289999999</v>
      </c>
      <c r="AD558" s="180"/>
      <c r="AG558" s="218">
        <v>4.8045267489999999</v>
      </c>
      <c r="AH558" s="180"/>
      <c r="AM558" s="218">
        <v>99</v>
      </c>
      <c r="BS558" s="218">
        <v>49.696697200000003</v>
      </c>
      <c r="BT558" s="180"/>
      <c r="BU558" s="218">
        <v>18.3358116</v>
      </c>
      <c r="BV558" s="180"/>
    </row>
    <row r="559" spans="1:74">
      <c r="A559" s="154" t="s">
        <v>7772</v>
      </c>
      <c r="B559" s="224" t="s">
        <v>259</v>
      </c>
      <c r="C559" s="224" t="s">
        <v>7987</v>
      </c>
      <c r="D559" s="224"/>
      <c r="E559" s="223">
        <v>8</v>
      </c>
      <c r="F559" s="225">
        <v>19</v>
      </c>
      <c r="G559" s="223"/>
      <c r="I559" s="253">
        <v>30</v>
      </c>
      <c r="S559" s="218">
        <v>2253.3261029999999</v>
      </c>
      <c r="T559" s="180"/>
      <c r="Y559" s="218">
        <v>734.65277519999995</v>
      </c>
      <c r="Z559" s="180"/>
      <c r="AA559" s="218">
        <v>86885.510009999998</v>
      </c>
      <c r="AB559" s="180"/>
      <c r="AC559" s="252">
        <v>43.442754999999998</v>
      </c>
      <c r="AD559" s="180"/>
      <c r="AG559" s="218">
        <v>5</v>
      </c>
      <c r="AH559" s="180"/>
      <c r="AM559" s="218">
        <v>94</v>
      </c>
      <c r="BS559" s="218">
        <v>51.868858299999999</v>
      </c>
      <c r="BT559" s="180"/>
      <c r="BU559" s="218">
        <v>16.910823799999999</v>
      </c>
      <c r="BV559" s="180"/>
    </row>
    <row r="560" spans="1:74">
      <c r="A560" s="154" t="s">
        <v>7772</v>
      </c>
      <c r="B560" s="224" t="s">
        <v>259</v>
      </c>
      <c r="C560" s="224" t="s">
        <v>7988</v>
      </c>
      <c r="D560" s="224"/>
      <c r="E560" s="222">
        <v>12</v>
      </c>
      <c r="F560" s="225">
        <v>48</v>
      </c>
      <c r="G560" s="223"/>
      <c r="I560" s="253">
        <v>36</v>
      </c>
      <c r="S560" s="218">
        <v>2395.203008</v>
      </c>
      <c r="T560" s="180"/>
      <c r="Y560" s="218">
        <v>899.89363060000005</v>
      </c>
      <c r="Z560" s="180"/>
      <c r="AA560" s="218">
        <v>102567.8487</v>
      </c>
      <c r="AB560" s="180"/>
      <c r="AC560" s="252">
        <v>48.385038610000002</v>
      </c>
      <c r="AD560" s="180"/>
      <c r="AG560" s="218">
        <v>4.7173689620000001</v>
      </c>
      <c r="AH560" s="180"/>
      <c r="AM560" s="218">
        <v>99</v>
      </c>
      <c r="BS560" s="218">
        <v>49.5029678</v>
      </c>
      <c r="BT560" s="180"/>
      <c r="BU560" s="218">
        <v>18.598592799999999</v>
      </c>
      <c r="BV560" s="180"/>
    </row>
    <row r="561" spans="1:74">
      <c r="A561" s="154" t="s">
        <v>7772</v>
      </c>
      <c r="B561" s="224" t="s">
        <v>259</v>
      </c>
      <c r="C561" s="224" t="s">
        <v>7989</v>
      </c>
      <c r="D561" s="224"/>
      <c r="E561" s="222">
        <v>16</v>
      </c>
      <c r="F561" s="225">
        <v>17</v>
      </c>
      <c r="G561" s="223"/>
      <c r="I561" s="253">
        <v>38</v>
      </c>
      <c r="S561" s="218">
        <v>1986.127737</v>
      </c>
      <c r="T561" s="180"/>
      <c r="Y561" s="218">
        <v>743.19766179999999</v>
      </c>
      <c r="Z561" s="180"/>
      <c r="AA561" s="218">
        <v>82201.903749999998</v>
      </c>
      <c r="AB561" s="180"/>
      <c r="AC561" s="252">
        <v>39.936496779999999</v>
      </c>
      <c r="AD561" s="180"/>
      <c r="AG561" s="218">
        <v>4.8583420779999997</v>
      </c>
      <c r="AH561" s="180"/>
      <c r="AM561" s="218">
        <v>94</v>
      </c>
      <c r="BS561" s="218">
        <v>49.7321472</v>
      </c>
      <c r="BT561" s="180"/>
      <c r="BU561" s="218">
        <v>18.609485599999999</v>
      </c>
      <c r="BV561" s="180"/>
    </row>
    <row r="562" spans="1:74">
      <c r="A562" s="154" t="s">
        <v>7773</v>
      </c>
      <c r="B562" s="224" t="s">
        <v>257</v>
      </c>
      <c r="C562" s="224" t="s">
        <v>405</v>
      </c>
      <c r="D562" s="224"/>
      <c r="E562" s="222">
        <v>3</v>
      </c>
      <c r="F562" s="225">
        <v>28</v>
      </c>
      <c r="G562" s="223"/>
      <c r="I562" s="253">
        <v>40</v>
      </c>
      <c r="S562" s="218">
        <v>1454.112167</v>
      </c>
      <c r="T562" s="180"/>
      <c r="Y562" s="218">
        <v>516.45591230000002</v>
      </c>
      <c r="Z562" s="180"/>
      <c r="AA562" s="218">
        <v>58553.264000000003</v>
      </c>
      <c r="AB562" s="180"/>
      <c r="AC562" s="252">
        <v>28.436601119999999</v>
      </c>
      <c r="AD562" s="180"/>
      <c r="AG562" s="218">
        <v>4.8565356</v>
      </c>
      <c r="AH562" s="180"/>
      <c r="AM562" s="218">
        <v>92</v>
      </c>
      <c r="BS562" s="218">
        <v>51.135230999999997</v>
      </c>
      <c r="BT562" s="180"/>
      <c r="BU562" s="218">
        <v>18.1616611</v>
      </c>
      <c r="BV562" s="180"/>
    </row>
    <row r="563" spans="1:74">
      <c r="A563" s="154" t="s">
        <v>7773</v>
      </c>
      <c r="B563" s="224" t="s">
        <v>257</v>
      </c>
      <c r="C563" s="224" t="s">
        <v>7987</v>
      </c>
      <c r="D563" s="224"/>
      <c r="E563" s="222">
        <v>6</v>
      </c>
      <c r="F563" s="225">
        <v>39</v>
      </c>
      <c r="G563" s="223"/>
      <c r="I563" s="253">
        <v>28</v>
      </c>
      <c r="S563" s="218">
        <v>1734.941041</v>
      </c>
      <c r="T563" s="180"/>
      <c r="Y563" s="218">
        <v>605.74116149999998</v>
      </c>
      <c r="Z563" s="180"/>
      <c r="AA563" s="218">
        <v>68431.40625</v>
      </c>
      <c r="AB563" s="180"/>
      <c r="AC563" s="252">
        <v>33.925123910000003</v>
      </c>
      <c r="AD563" s="180"/>
      <c r="AG563" s="218">
        <v>4.9575371549999998</v>
      </c>
      <c r="AH563" s="180"/>
      <c r="AM563" s="218">
        <v>89</v>
      </c>
      <c r="BS563" s="218">
        <v>51.140300799999999</v>
      </c>
      <c r="BT563" s="180"/>
      <c r="BU563" s="218">
        <v>17.855238</v>
      </c>
      <c r="BV563" s="180"/>
    </row>
    <row r="564" spans="1:74">
      <c r="A564" s="154" t="s">
        <v>7773</v>
      </c>
      <c r="B564" s="224" t="s">
        <v>257</v>
      </c>
      <c r="C564" s="224" t="s">
        <v>7988</v>
      </c>
      <c r="D564" s="224"/>
      <c r="E564" s="222">
        <v>10</v>
      </c>
      <c r="F564" s="225">
        <v>14</v>
      </c>
      <c r="G564" s="223"/>
      <c r="I564" s="253">
        <v>37</v>
      </c>
      <c r="S564" s="218">
        <v>1289.8083079999999</v>
      </c>
      <c r="T564" s="180"/>
      <c r="Y564" s="218">
        <v>467.21568969999998</v>
      </c>
      <c r="Z564" s="180"/>
      <c r="AA564" s="218">
        <v>50304.705040000001</v>
      </c>
      <c r="AB564" s="180"/>
      <c r="AC564" s="252">
        <v>25.512860329999999</v>
      </c>
      <c r="AD564" s="180"/>
      <c r="AG564" s="218">
        <v>5.0716648290000004</v>
      </c>
      <c r="AH564" s="180"/>
      <c r="AM564" s="218">
        <v>92</v>
      </c>
      <c r="BS564" s="218">
        <v>50.555221600000003</v>
      </c>
      <c r="BT564" s="180"/>
      <c r="BU564" s="218">
        <v>18.312948200000001</v>
      </c>
      <c r="BV564" s="180"/>
    </row>
    <row r="565" spans="1:74">
      <c r="A565" s="154" t="s">
        <v>7773</v>
      </c>
      <c r="B565" s="224" t="s">
        <v>257</v>
      </c>
      <c r="C565" s="224" t="s">
        <v>7989</v>
      </c>
      <c r="D565" s="224"/>
      <c r="E565" s="223">
        <v>14</v>
      </c>
      <c r="F565" s="225">
        <v>44</v>
      </c>
      <c r="G565" s="223"/>
      <c r="I565" s="253">
        <v>36</v>
      </c>
      <c r="S565" s="218">
        <v>1813.3536280000001</v>
      </c>
      <c r="T565" s="180"/>
      <c r="Y565" s="218">
        <v>634.79009599999995</v>
      </c>
      <c r="Z565" s="180"/>
      <c r="AA565" s="218">
        <v>70198.440449999995</v>
      </c>
      <c r="AB565" s="180"/>
      <c r="AC565" s="252">
        <v>35.364262879999998</v>
      </c>
      <c r="AD565" s="180"/>
      <c r="AG565" s="218">
        <v>5.0377562029999998</v>
      </c>
      <c r="AH565" s="180"/>
      <c r="AM565" s="218">
        <v>92</v>
      </c>
      <c r="BS565" s="218">
        <v>51.276443499999999</v>
      </c>
      <c r="BT565" s="180"/>
      <c r="BU565" s="218">
        <v>17.950044599999998</v>
      </c>
      <c r="BV565" s="180"/>
    </row>
    <row r="566" spans="1:74">
      <c r="A566" s="154" t="s">
        <v>7773</v>
      </c>
      <c r="B566" s="224" t="s">
        <v>259</v>
      </c>
      <c r="C566" s="224" t="s">
        <v>405</v>
      </c>
      <c r="D566" s="224"/>
      <c r="E566" s="222">
        <v>1</v>
      </c>
      <c r="F566" s="225">
        <v>33</v>
      </c>
      <c r="G566" s="223"/>
      <c r="I566" s="253">
        <v>38</v>
      </c>
      <c r="S566" s="218">
        <v>1487.6209679999999</v>
      </c>
      <c r="T566" s="180"/>
      <c r="Y566" s="218">
        <v>619.66373380000005</v>
      </c>
      <c r="Z566" s="180"/>
      <c r="AA566" s="218">
        <v>61853.047350000001</v>
      </c>
      <c r="AB566" s="180"/>
      <c r="AC566" s="252">
        <v>30.434585330000001</v>
      </c>
      <c r="AD566" s="180"/>
      <c r="AG566" s="218">
        <v>4.9204665959999998</v>
      </c>
      <c r="AH566" s="180"/>
      <c r="AM566" s="218">
        <v>89</v>
      </c>
      <c r="BS566" s="218">
        <v>48.879291500000001</v>
      </c>
      <c r="BT566" s="180"/>
      <c r="BU566" s="218">
        <v>20.360511800000001</v>
      </c>
      <c r="BV566" s="180"/>
    </row>
    <row r="567" spans="1:74">
      <c r="A567" s="154" t="s">
        <v>7773</v>
      </c>
      <c r="B567" s="224" t="s">
        <v>259</v>
      </c>
      <c r="C567" s="224" t="s">
        <v>7987</v>
      </c>
      <c r="D567" s="224"/>
      <c r="E567" s="222">
        <v>8</v>
      </c>
      <c r="F567" s="225">
        <v>15</v>
      </c>
      <c r="G567" s="223"/>
      <c r="I567" s="253">
        <v>30</v>
      </c>
      <c r="S567" s="218">
        <v>1943.7230669999999</v>
      </c>
      <c r="T567" s="180"/>
      <c r="Y567" s="218">
        <v>767.59484529999997</v>
      </c>
      <c r="Z567" s="180"/>
      <c r="AA567" s="218">
        <v>74352.754889999997</v>
      </c>
      <c r="AB567" s="180"/>
      <c r="AC567" s="252">
        <v>38.127497230000003</v>
      </c>
      <c r="AD567" s="180"/>
      <c r="AG567" s="218">
        <v>5.1279199110000002</v>
      </c>
      <c r="AH567" s="180"/>
      <c r="AM567" s="218">
        <v>89</v>
      </c>
      <c r="BS567" s="218">
        <v>50.979560900000003</v>
      </c>
      <c r="BT567" s="180"/>
      <c r="BU567" s="218">
        <v>20.132316599999999</v>
      </c>
      <c r="BV567" s="180"/>
    </row>
    <row r="568" spans="1:74">
      <c r="A568" s="154" t="s">
        <v>7773</v>
      </c>
      <c r="B568" s="224" t="s">
        <v>259</v>
      </c>
      <c r="C568" s="224" t="s">
        <v>7988</v>
      </c>
      <c r="D568" s="224"/>
      <c r="E568" s="222">
        <v>12</v>
      </c>
      <c r="F568" s="225">
        <v>46</v>
      </c>
      <c r="G568" s="223"/>
      <c r="I568" s="253">
        <v>38</v>
      </c>
      <c r="S568" s="218">
        <v>1971.908694</v>
      </c>
      <c r="T568" s="180"/>
      <c r="Y568" s="218">
        <v>842.85002599999996</v>
      </c>
      <c r="Z568" s="180"/>
      <c r="AA568" s="218">
        <v>81493.470809999999</v>
      </c>
      <c r="AB568" s="180"/>
      <c r="AC568" s="252">
        <v>41.015986959999999</v>
      </c>
      <c r="AD568" s="180"/>
      <c r="AG568" s="218">
        <v>5.0330396479999999</v>
      </c>
      <c r="AH568" s="180"/>
      <c r="AM568" s="218">
        <v>94</v>
      </c>
      <c r="BS568" s="218">
        <v>48.076587699999997</v>
      </c>
      <c r="BT568" s="180"/>
      <c r="BU568" s="218">
        <v>20.549305</v>
      </c>
      <c r="BV568" s="180"/>
    </row>
    <row r="569" spans="1:74">
      <c r="A569" s="154" t="s">
        <v>7773</v>
      </c>
      <c r="B569" s="224" t="s">
        <v>259</v>
      </c>
      <c r="C569" s="224" t="s">
        <v>7989</v>
      </c>
      <c r="D569" s="224"/>
      <c r="E569" s="222">
        <v>14</v>
      </c>
      <c r="F569" s="225">
        <v>1</v>
      </c>
      <c r="G569" s="223"/>
      <c r="I569" s="253">
        <v>29</v>
      </c>
      <c r="S569" s="218">
        <v>1636.6015500000001</v>
      </c>
      <c r="T569" s="180"/>
      <c r="Y569" s="218">
        <v>675.16099659999998</v>
      </c>
      <c r="Z569" s="180"/>
      <c r="AA569" s="218">
        <v>65946.836989999996</v>
      </c>
      <c r="AB569" s="180"/>
      <c r="AC569" s="252">
        <v>33.1875316</v>
      </c>
      <c r="AD569" s="180"/>
      <c r="AG569" s="218">
        <v>5.0324675320000001</v>
      </c>
      <c r="AH569" s="180"/>
      <c r="AM569" s="218">
        <v>89</v>
      </c>
      <c r="BS569" s="218">
        <v>49.313747399999997</v>
      </c>
      <c r="BT569" s="180"/>
      <c r="BU569" s="218">
        <v>20.343814800000001</v>
      </c>
      <c r="BV569" s="180"/>
    </row>
    <row r="570" spans="1:74">
      <c r="A570" s="154" t="s">
        <v>7774</v>
      </c>
      <c r="B570" s="224" t="s">
        <v>257</v>
      </c>
      <c r="C570" s="224" t="s">
        <v>405</v>
      </c>
      <c r="D570" s="224"/>
      <c r="E570" s="223">
        <v>4</v>
      </c>
      <c r="F570" s="225">
        <v>30</v>
      </c>
      <c r="G570" s="223"/>
      <c r="I570" s="253">
        <v>34</v>
      </c>
      <c r="S570" s="218">
        <v>1684.609919</v>
      </c>
      <c r="T570" s="180"/>
      <c r="Y570" s="218">
        <v>609.59551780000004</v>
      </c>
      <c r="Z570" s="180"/>
      <c r="AA570" s="218">
        <v>73237.577239999999</v>
      </c>
      <c r="AB570" s="180"/>
      <c r="AC570" s="252">
        <v>33.400340399999997</v>
      </c>
      <c r="AD570" s="180"/>
      <c r="AG570" s="218">
        <v>4.560546875</v>
      </c>
      <c r="AH570" s="180"/>
      <c r="AM570" s="218">
        <v>94</v>
      </c>
      <c r="BS570" s="218">
        <v>50.436908699999996</v>
      </c>
      <c r="BT570" s="180"/>
      <c r="BU570" s="218">
        <v>18.2511768</v>
      </c>
      <c r="BV570" s="180"/>
    </row>
    <row r="571" spans="1:74">
      <c r="A571" s="154" t="s">
        <v>7774</v>
      </c>
      <c r="B571" s="224" t="s">
        <v>257</v>
      </c>
      <c r="C571" s="224" t="s">
        <v>7987</v>
      </c>
      <c r="D571" s="224"/>
      <c r="E571" s="223">
        <v>6</v>
      </c>
      <c r="F571" s="225">
        <v>34</v>
      </c>
      <c r="G571" s="223"/>
      <c r="I571" s="253">
        <v>36</v>
      </c>
      <c r="S571" s="218">
        <v>1562.6898839999999</v>
      </c>
      <c r="T571" s="180"/>
      <c r="Y571" s="218">
        <v>563.12267340000005</v>
      </c>
      <c r="Z571" s="180"/>
      <c r="AA571" s="218">
        <v>68844.406740000006</v>
      </c>
      <c r="AB571" s="180"/>
      <c r="AC571" s="252">
        <v>30.82684751</v>
      </c>
      <c r="AD571" s="180"/>
      <c r="AG571" s="218">
        <v>4.477756286</v>
      </c>
      <c r="AH571" s="180"/>
      <c r="AM571" s="218">
        <v>99</v>
      </c>
      <c r="BS571" s="218">
        <v>50.692497299999999</v>
      </c>
      <c r="BT571" s="180"/>
      <c r="BU571" s="218">
        <v>18.267280599999999</v>
      </c>
      <c r="BV571" s="180"/>
    </row>
    <row r="572" spans="1:74">
      <c r="A572" s="154" t="s">
        <v>7774</v>
      </c>
      <c r="B572" s="224" t="s">
        <v>257</v>
      </c>
      <c r="C572" s="224" t="s">
        <v>7988</v>
      </c>
      <c r="D572" s="224"/>
      <c r="E572" s="222">
        <v>11</v>
      </c>
      <c r="F572" s="225">
        <v>11</v>
      </c>
      <c r="G572" s="223"/>
      <c r="I572" s="253">
        <v>32</v>
      </c>
      <c r="S572" s="218">
        <v>1435.2656549999999</v>
      </c>
      <c r="T572" s="180"/>
      <c r="Y572" s="218">
        <v>531.08265170000004</v>
      </c>
      <c r="Z572" s="180"/>
      <c r="AA572" s="218">
        <v>61043.82417</v>
      </c>
      <c r="AB572" s="180"/>
      <c r="AC572" s="252">
        <v>28.37843458</v>
      </c>
      <c r="AD572" s="180"/>
      <c r="AG572" s="218">
        <v>4.648862512</v>
      </c>
      <c r="AH572" s="180"/>
      <c r="AM572" s="218">
        <v>94</v>
      </c>
      <c r="BS572" s="218">
        <v>50.575927700000001</v>
      </c>
      <c r="BT572" s="180"/>
      <c r="BU572" s="218">
        <v>18.714303999999998</v>
      </c>
      <c r="BV572" s="180"/>
    </row>
    <row r="573" spans="1:74">
      <c r="A573" s="154" t="s">
        <v>7774</v>
      </c>
      <c r="B573" s="224" t="s">
        <v>257</v>
      </c>
      <c r="C573" s="224" t="s">
        <v>7989</v>
      </c>
      <c r="D573" s="224"/>
      <c r="E573" s="222">
        <v>15</v>
      </c>
      <c r="F573" s="225">
        <v>48</v>
      </c>
      <c r="G573" s="223"/>
      <c r="I573" s="253">
        <v>33</v>
      </c>
      <c r="S573" s="218">
        <v>1628.014126</v>
      </c>
      <c r="T573" s="180"/>
      <c r="Y573" s="218">
        <v>600.96753139999998</v>
      </c>
      <c r="Z573" s="180"/>
      <c r="AA573" s="218">
        <v>73998.225770000005</v>
      </c>
      <c r="AB573" s="180"/>
      <c r="AC573" s="252">
        <v>32.348192500000003</v>
      </c>
      <c r="AD573" s="180"/>
      <c r="AG573" s="218">
        <v>4.3714821759999998</v>
      </c>
      <c r="AH573" s="180"/>
      <c r="AM573" s="218">
        <v>99</v>
      </c>
      <c r="BS573" s="218">
        <v>50.327823600000002</v>
      </c>
      <c r="BT573" s="180"/>
      <c r="BU573" s="218">
        <v>18.578086899999999</v>
      </c>
      <c r="BV573" s="180"/>
    </row>
    <row r="574" spans="1:74">
      <c r="A574" s="154" t="s">
        <v>7774</v>
      </c>
      <c r="B574" s="224" t="s">
        <v>259</v>
      </c>
      <c r="C574" s="224" t="s">
        <v>405</v>
      </c>
      <c r="D574" s="224"/>
      <c r="E574" s="222">
        <v>3</v>
      </c>
      <c r="F574" s="225">
        <v>45</v>
      </c>
      <c r="G574" s="223"/>
      <c r="I574" s="253">
        <v>41</v>
      </c>
      <c r="S574" s="218">
        <v>1722.768613</v>
      </c>
      <c r="T574" s="180"/>
      <c r="Y574" s="218">
        <v>651.20201699999996</v>
      </c>
      <c r="Z574" s="180"/>
      <c r="AA574" s="218">
        <v>74925.343219999995</v>
      </c>
      <c r="AB574" s="180"/>
      <c r="AC574" s="252">
        <v>34.037096579999996</v>
      </c>
      <c r="AD574" s="180"/>
      <c r="AG574" s="218">
        <v>4.5428015559999997</v>
      </c>
      <c r="AH574" s="180"/>
      <c r="AM574" s="218">
        <v>99</v>
      </c>
      <c r="BS574" s="218">
        <v>50.614440899999998</v>
      </c>
      <c r="BT574" s="180"/>
      <c r="BU574" s="218">
        <v>19.132125899999998</v>
      </c>
      <c r="BV574" s="180"/>
    </row>
    <row r="575" spans="1:74">
      <c r="A575" s="154" t="s">
        <v>7774</v>
      </c>
      <c r="B575" s="224" t="s">
        <v>259</v>
      </c>
      <c r="C575" s="224" t="s">
        <v>7987</v>
      </c>
      <c r="D575" s="224"/>
      <c r="E575" s="222">
        <v>6</v>
      </c>
      <c r="F575" s="225">
        <v>7</v>
      </c>
      <c r="G575" s="223"/>
      <c r="I575" s="253">
        <v>35</v>
      </c>
      <c r="S575" s="218">
        <v>1768.9357749999999</v>
      </c>
      <c r="T575" s="180"/>
      <c r="Y575" s="218">
        <v>747.16033379999999</v>
      </c>
      <c r="Z575" s="180"/>
      <c r="AA575" s="218">
        <v>80818.828410000002</v>
      </c>
      <c r="AB575" s="180"/>
      <c r="AC575" s="252">
        <v>35.832549280000002</v>
      </c>
      <c r="AD575" s="180"/>
      <c r="AG575" s="218">
        <v>4.4336882869999998</v>
      </c>
      <c r="AH575" s="180"/>
      <c r="AM575" s="218">
        <v>99</v>
      </c>
      <c r="BS575" s="218">
        <v>49.3667297</v>
      </c>
      <c r="BT575" s="180"/>
      <c r="BU575" s="218">
        <v>20.851442299999999</v>
      </c>
      <c r="BV575" s="180"/>
    </row>
    <row r="576" spans="1:74">
      <c r="A576" s="154" t="s">
        <v>7774</v>
      </c>
      <c r="B576" s="224" t="s">
        <v>259</v>
      </c>
      <c r="C576" s="224" t="s">
        <v>7988</v>
      </c>
      <c r="D576" s="224"/>
      <c r="E576" s="223">
        <v>9</v>
      </c>
      <c r="F576" s="225">
        <v>40</v>
      </c>
      <c r="G576" s="223"/>
      <c r="I576" s="253">
        <v>34</v>
      </c>
      <c r="S576" s="218">
        <v>1798.4764439999999</v>
      </c>
      <c r="T576" s="180"/>
      <c r="Y576" s="218">
        <v>681.03935839999997</v>
      </c>
      <c r="Z576" s="180"/>
      <c r="AA576" s="218">
        <v>78778.158540000004</v>
      </c>
      <c r="AB576" s="180"/>
      <c r="AC576" s="252">
        <v>35.7657515</v>
      </c>
      <c r="AD576" s="180"/>
      <c r="AG576" s="218">
        <v>4.5400593469999997</v>
      </c>
      <c r="AH576" s="180"/>
      <c r="AM576" s="218">
        <v>101</v>
      </c>
      <c r="BS576" s="218">
        <v>50.284877799999997</v>
      </c>
      <c r="BT576" s="180"/>
      <c r="BU576" s="218">
        <v>19.041662200000001</v>
      </c>
      <c r="BV576" s="180"/>
    </row>
    <row r="577" spans="1:74">
      <c r="A577" s="154" t="s">
        <v>7774</v>
      </c>
      <c r="B577" s="224" t="s">
        <v>259</v>
      </c>
      <c r="C577" s="224" t="s">
        <v>7989</v>
      </c>
      <c r="D577" s="224"/>
      <c r="E577" s="223">
        <v>13</v>
      </c>
      <c r="F577" s="225">
        <v>15</v>
      </c>
      <c r="G577" s="223"/>
      <c r="I577" s="253">
        <v>32</v>
      </c>
      <c r="S577" s="218">
        <v>1710.347237</v>
      </c>
      <c r="T577" s="180"/>
      <c r="Y577" s="218">
        <v>709.25743120000004</v>
      </c>
      <c r="Z577" s="180"/>
      <c r="AA577" s="218">
        <v>77744.534280000007</v>
      </c>
      <c r="AB577" s="180"/>
      <c r="AC577" s="252">
        <v>34.939664239999999</v>
      </c>
      <c r="AD577" s="180"/>
      <c r="AG577" s="218">
        <v>4.4941634239999999</v>
      </c>
      <c r="AH577" s="180"/>
      <c r="AM577" s="218">
        <v>99</v>
      </c>
      <c r="BS577" s="218">
        <v>48.951450299999998</v>
      </c>
      <c r="BT577" s="180"/>
      <c r="BU577" s="218">
        <v>20.2994919</v>
      </c>
      <c r="BV577" s="180"/>
    </row>
    <row r="578" spans="1:74">
      <c r="A578" s="154" t="s">
        <v>7849</v>
      </c>
      <c r="B578" s="224" t="s">
        <v>257</v>
      </c>
      <c r="C578" s="224" t="s">
        <v>405</v>
      </c>
      <c r="D578" s="224"/>
      <c r="E578" s="222">
        <v>4</v>
      </c>
      <c r="F578" s="225">
        <v>13</v>
      </c>
      <c r="G578" s="223"/>
      <c r="I578" s="253">
        <v>33</v>
      </c>
      <c r="S578" s="218">
        <v>1576.1647800000001</v>
      </c>
      <c r="T578" s="180"/>
      <c r="Y578" s="218">
        <v>614.31236460000002</v>
      </c>
      <c r="Z578" s="180"/>
      <c r="AA578" s="218">
        <v>64563.708639999997</v>
      </c>
      <c r="AB578" s="180"/>
      <c r="AC578" s="252">
        <v>31.737012889999999</v>
      </c>
      <c r="AD578" s="180"/>
      <c r="AG578" s="218">
        <v>4.915611814</v>
      </c>
      <c r="AH578" s="180"/>
      <c r="AM578" s="218">
        <v>94</v>
      </c>
      <c r="BS578" s="218">
        <v>49.663299600000002</v>
      </c>
      <c r="BT578" s="180"/>
      <c r="BU578" s="218">
        <v>19.3563385</v>
      </c>
      <c r="BV578" s="180"/>
    </row>
    <row r="579" spans="1:74">
      <c r="A579" s="154" t="s">
        <v>7849</v>
      </c>
      <c r="B579" s="224" t="s">
        <v>257</v>
      </c>
      <c r="C579" s="224" t="s">
        <v>7987</v>
      </c>
      <c r="D579" s="224"/>
      <c r="E579" s="222">
        <v>6</v>
      </c>
      <c r="F579" s="225">
        <v>43</v>
      </c>
      <c r="G579" s="223"/>
      <c r="I579" s="253">
        <v>38</v>
      </c>
      <c r="S579" s="218">
        <v>1386.3289769999999</v>
      </c>
      <c r="T579" s="180"/>
      <c r="Y579" s="218">
        <v>530.15645210000002</v>
      </c>
      <c r="Z579" s="180"/>
      <c r="AA579" s="218">
        <v>57321.842100000002</v>
      </c>
      <c r="AB579" s="180"/>
      <c r="AC579" s="252">
        <v>27.572531640000001</v>
      </c>
      <c r="AD579" s="180"/>
      <c r="AG579" s="218">
        <v>4.8101265819999997</v>
      </c>
      <c r="AH579" s="180"/>
      <c r="AM579" s="218">
        <v>94</v>
      </c>
      <c r="BS579" s="218">
        <v>50.279350299999997</v>
      </c>
      <c r="BT579" s="180"/>
      <c r="BU579" s="218">
        <v>19.227703099999999</v>
      </c>
      <c r="BV579" s="180"/>
    </row>
    <row r="580" spans="1:74">
      <c r="A580" s="154" t="s">
        <v>7849</v>
      </c>
      <c r="B580" s="224" t="s">
        <v>257</v>
      </c>
      <c r="C580" s="224" t="s">
        <v>7988</v>
      </c>
      <c r="D580" s="224"/>
      <c r="E580" s="222">
        <v>11</v>
      </c>
      <c r="F580" s="225">
        <v>32</v>
      </c>
      <c r="G580" s="223"/>
      <c r="I580" s="253">
        <v>37</v>
      </c>
      <c r="S580" s="218">
        <v>1273.895853</v>
      </c>
      <c r="T580" s="180"/>
      <c r="Y580" s="218">
        <v>501.64456840000003</v>
      </c>
      <c r="Z580" s="180"/>
      <c r="AA580" s="218">
        <v>51882.198669999998</v>
      </c>
      <c r="AB580" s="180"/>
      <c r="AC580" s="252">
        <v>25.969083260000001</v>
      </c>
      <c r="AD580" s="180"/>
      <c r="AG580" s="218">
        <v>5.005393743</v>
      </c>
      <c r="AH580" s="180"/>
      <c r="AM580" s="218">
        <v>94</v>
      </c>
      <c r="BS580" s="218">
        <v>49.0543251</v>
      </c>
      <c r="BT580" s="180"/>
      <c r="BU580" s="218">
        <v>19.3169918</v>
      </c>
      <c r="BV580" s="180"/>
    </row>
    <row r="581" spans="1:74">
      <c r="A581" s="154" t="s">
        <v>7849</v>
      </c>
      <c r="B581" s="224" t="s">
        <v>257</v>
      </c>
      <c r="C581" s="224" t="s">
        <v>7989</v>
      </c>
      <c r="D581" s="224"/>
      <c r="E581" s="222">
        <v>16</v>
      </c>
      <c r="F581" s="225">
        <v>61</v>
      </c>
      <c r="G581" s="223"/>
      <c r="I581" s="253">
        <v>34</v>
      </c>
      <c r="S581" s="218">
        <v>1356.692888</v>
      </c>
      <c r="T581" s="180"/>
      <c r="Y581" s="218">
        <v>525.6762966</v>
      </c>
      <c r="Z581" s="180"/>
      <c r="AA581" s="218">
        <v>56833.445110000001</v>
      </c>
      <c r="AB581" s="180"/>
      <c r="AC581" s="252">
        <v>27.383923710000001</v>
      </c>
      <c r="AD581" s="180"/>
      <c r="AG581" s="218">
        <v>4.8182762200000004</v>
      </c>
      <c r="AH581" s="180"/>
      <c r="AM581" s="218">
        <v>92</v>
      </c>
      <c r="BS581" s="218">
        <v>49.5434074</v>
      </c>
      <c r="BT581" s="180"/>
      <c r="BU581" s="218">
        <v>19.196529399999999</v>
      </c>
      <c r="BV581" s="180"/>
    </row>
    <row r="582" spans="1:74">
      <c r="A582" s="154" t="s">
        <v>7849</v>
      </c>
      <c r="B582" s="224" t="s">
        <v>259</v>
      </c>
      <c r="C582" s="224" t="s">
        <v>405</v>
      </c>
      <c r="D582" s="224"/>
      <c r="E582" s="223">
        <v>4</v>
      </c>
      <c r="F582" s="225">
        <v>42</v>
      </c>
      <c r="G582" s="223"/>
      <c r="I582" s="253">
        <v>37</v>
      </c>
      <c r="S582" s="218">
        <v>1594.8078410000001</v>
      </c>
      <c r="T582" s="180"/>
      <c r="Y582" s="218">
        <v>643.08289969999998</v>
      </c>
      <c r="Z582" s="180"/>
      <c r="AA582" s="218">
        <v>66941.051250000004</v>
      </c>
      <c r="AB582" s="180"/>
      <c r="AC582" s="252">
        <v>32.294907989999999</v>
      </c>
      <c r="AD582" s="180"/>
      <c r="AG582" s="218">
        <v>4.824380165</v>
      </c>
      <c r="AH582" s="180"/>
      <c r="AM582" s="218">
        <v>99</v>
      </c>
      <c r="BS582" s="218">
        <v>49.382640799999997</v>
      </c>
      <c r="BT582" s="180"/>
      <c r="BU582" s="218">
        <v>19.912826500000001</v>
      </c>
      <c r="BV582" s="180"/>
    </row>
    <row r="583" spans="1:74">
      <c r="A583" s="154" t="s">
        <v>7849</v>
      </c>
      <c r="B583" s="224" t="s">
        <v>259</v>
      </c>
      <c r="C583" s="224" t="s">
        <v>7987</v>
      </c>
      <c r="D583" s="224"/>
      <c r="E583" s="223">
        <v>5</v>
      </c>
      <c r="F583" s="225">
        <v>1</v>
      </c>
      <c r="G583" s="223"/>
      <c r="I583" s="253">
        <v>32</v>
      </c>
      <c r="S583" s="218">
        <v>1618.963921</v>
      </c>
      <c r="T583" s="180"/>
      <c r="Y583" s="218">
        <v>634.10189830000002</v>
      </c>
      <c r="Z583" s="180"/>
      <c r="AA583" s="218">
        <v>66298.310020000004</v>
      </c>
      <c r="AB583" s="180"/>
      <c r="AC583" s="252">
        <v>32.323864839999999</v>
      </c>
      <c r="AD583" s="180"/>
      <c r="AG583" s="218">
        <v>4.8755186720000001</v>
      </c>
      <c r="AH583" s="180"/>
      <c r="AM583" s="218">
        <v>99</v>
      </c>
      <c r="BS583" s="218">
        <v>50.0857162</v>
      </c>
      <c r="BT583" s="180"/>
      <c r="BU583" s="218">
        <v>19.617143599999999</v>
      </c>
      <c r="BV583" s="180"/>
    </row>
    <row r="584" spans="1:74">
      <c r="A584" s="154" t="s">
        <v>7849</v>
      </c>
      <c r="B584" s="224" t="s">
        <v>259</v>
      </c>
      <c r="C584" s="224" t="s">
        <v>7988</v>
      </c>
      <c r="D584" s="224"/>
      <c r="E584" s="222">
        <v>11</v>
      </c>
      <c r="F584" s="225">
        <v>48</v>
      </c>
      <c r="G584" s="223"/>
      <c r="I584" s="253">
        <v>38</v>
      </c>
      <c r="S584" s="218">
        <v>1704.5952239999999</v>
      </c>
      <c r="T584" s="180"/>
      <c r="Y584" s="218">
        <v>691.31312809999997</v>
      </c>
      <c r="Z584" s="180"/>
      <c r="AA584" s="218">
        <v>73034.330230000007</v>
      </c>
      <c r="AB584" s="180"/>
      <c r="AC584" s="252">
        <v>34.900030100000002</v>
      </c>
      <c r="AD584" s="180"/>
      <c r="AG584" s="218">
        <v>4.7785787849999997</v>
      </c>
      <c r="AH584" s="180"/>
      <c r="AM584" s="218">
        <v>99</v>
      </c>
      <c r="BS584" s="218">
        <v>48.842227899999997</v>
      </c>
      <c r="BT584" s="180"/>
      <c r="BU584" s="218">
        <v>19.808382000000002</v>
      </c>
      <c r="BV584" s="180"/>
    </row>
    <row r="585" spans="1:74">
      <c r="A585" s="154" t="s">
        <v>7849</v>
      </c>
      <c r="B585" s="224" t="s">
        <v>259</v>
      </c>
      <c r="C585" s="224" t="s">
        <v>7989</v>
      </c>
      <c r="D585" s="224"/>
      <c r="E585" s="222">
        <v>16</v>
      </c>
      <c r="F585" s="225">
        <v>4</v>
      </c>
      <c r="G585" s="223"/>
      <c r="I585" s="253">
        <v>34</v>
      </c>
      <c r="S585" s="218">
        <v>1237.9842160000001</v>
      </c>
      <c r="T585" s="180"/>
      <c r="Y585" s="218">
        <v>551.21912799999996</v>
      </c>
      <c r="Z585" s="180"/>
      <c r="AA585" s="218">
        <v>52700.728810000001</v>
      </c>
      <c r="AB585" s="180"/>
      <c r="AC585" s="252">
        <v>25.903748060000002</v>
      </c>
      <c r="AD585" s="180"/>
      <c r="AG585" s="218">
        <v>4.9152542370000001</v>
      </c>
      <c r="AH585" s="180"/>
      <c r="AM585" s="218">
        <v>101</v>
      </c>
      <c r="BS585" s="218">
        <v>47.791702299999997</v>
      </c>
      <c r="BT585" s="180"/>
      <c r="BU585" s="218">
        <v>21.279512400000002</v>
      </c>
      <c r="BV585" s="180"/>
    </row>
    <row r="586" spans="1:74">
      <c r="A586" s="154" t="s">
        <v>7870</v>
      </c>
      <c r="B586" s="224" t="s">
        <v>257</v>
      </c>
      <c r="C586" s="224" t="s">
        <v>405</v>
      </c>
      <c r="D586" s="224"/>
      <c r="E586" s="222">
        <v>3</v>
      </c>
      <c r="F586" s="225">
        <v>15</v>
      </c>
      <c r="G586" s="223"/>
      <c r="I586" s="253">
        <v>33</v>
      </c>
      <c r="S586" s="218">
        <v>1309.185195</v>
      </c>
      <c r="T586" s="180"/>
      <c r="Y586" s="218">
        <v>510.10622410000002</v>
      </c>
      <c r="Z586" s="180"/>
      <c r="AA586" s="218">
        <v>66191.53572</v>
      </c>
      <c r="AB586" s="180"/>
      <c r="AC586" s="252">
        <v>27.190952880000001</v>
      </c>
      <c r="AD586" s="180"/>
      <c r="AG586" s="218">
        <v>4.1079199300000004</v>
      </c>
      <c r="AH586" s="180"/>
      <c r="AM586" s="218">
        <v>83</v>
      </c>
      <c r="BS586" s="218">
        <v>48.147823299999999</v>
      </c>
      <c r="BT586" s="180"/>
      <c r="BU586" s="218">
        <v>18.7601452</v>
      </c>
      <c r="BV586" s="180"/>
    </row>
    <row r="587" spans="1:74">
      <c r="A587" s="154" t="s">
        <v>7870</v>
      </c>
      <c r="B587" s="224" t="s">
        <v>257</v>
      </c>
      <c r="C587" s="224" t="s">
        <v>7987</v>
      </c>
      <c r="D587" s="224"/>
      <c r="E587" s="222">
        <v>5</v>
      </c>
      <c r="F587" s="225">
        <v>42</v>
      </c>
      <c r="G587" s="223"/>
      <c r="I587" s="253">
        <v>27</v>
      </c>
      <c r="S587" s="218">
        <v>1196.486983</v>
      </c>
      <c r="T587" s="180"/>
      <c r="Y587" s="218">
        <v>462.30692260000001</v>
      </c>
      <c r="Z587" s="180"/>
      <c r="AA587" s="218">
        <v>55231.343999999997</v>
      </c>
      <c r="AB587" s="180"/>
      <c r="AC587" s="252">
        <v>24.476928000000001</v>
      </c>
      <c r="AD587" s="180"/>
      <c r="AG587" s="218">
        <v>4.4317096469999999</v>
      </c>
      <c r="AH587" s="180"/>
      <c r="AM587" s="218">
        <v>83</v>
      </c>
      <c r="BS587" s="218">
        <v>48.882236499999998</v>
      </c>
      <c r="BT587" s="180"/>
      <c r="BU587" s="218">
        <v>18.8874569</v>
      </c>
      <c r="BV587" s="180"/>
    </row>
    <row r="588" spans="1:74">
      <c r="A588" s="154" t="s">
        <v>7870</v>
      </c>
      <c r="B588" s="224" t="s">
        <v>257</v>
      </c>
      <c r="C588" s="224" t="s">
        <v>7988</v>
      </c>
      <c r="D588" s="224"/>
      <c r="E588" s="222">
        <v>9</v>
      </c>
      <c r="F588" s="225">
        <v>29</v>
      </c>
      <c r="G588" s="223"/>
      <c r="I588" s="253">
        <v>33</v>
      </c>
      <c r="S588" s="218">
        <v>1375.696586</v>
      </c>
      <c r="T588" s="180"/>
      <c r="Y588" s="218">
        <v>572.50128619999998</v>
      </c>
      <c r="Z588" s="180"/>
      <c r="AA588" s="218">
        <v>69131.021420000005</v>
      </c>
      <c r="AB588" s="180"/>
      <c r="AC588" s="252">
        <v>29.031234059999999</v>
      </c>
      <c r="AD588" s="180"/>
      <c r="AG588" s="218">
        <v>4.1994510519999997</v>
      </c>
      <c r="AH588" s="180"/>
      <c r="AM588" s="218">
        <v>83</v>
      </c>
      <c r="BS588" s="218">
        <v>47.386775999999998</v>
      </c>
      <c r="BT588" s="180"/>
      <c r="BU588" s="218">
        <v>19.7201843</v>
      </c>
      <c r="BV588" s="180"/>
    </row>
    <row r="589" spans="1:74">
      <c r="A589" s="154" t="s">
        <v>7870</v>
      </c>
      <c r="B589" s="224" t="s">
        <v>257</v>
      </c>
      <c r="C589" s="224" t="s">
        <v>7989</v>
      </c>
      <c r="D589" s="224"/>
      <c r="E589" s="223">
        <v>15</v>
      </c>
      <c r="F589" s="225">
        <v>52</v>
      </c>
      <c r="G589" s="223"/>
      <c r="I589" s="253">
        <v>33</v>
      </c>
      <c r="S589" s="218">
        <v>1436.986179</v>
      </c>
      <c r="T589" s="180"/>
      <c r="Y589" s="218">
        <v>579.15012969999998</v>
      </c>
      <c r="Z589" s="180"/>
      <c r="AA589" s="218">
        <v>70558.787070000006</v>
      </c>
      <c r="AB589" s="180"/>
      <c r="AC589" s="252">
        <v>29.749110229999999</v>
      </c>
      <c r="AD589" s="180"/>
      <c r="AG589" s="218">
        <v>4.2162162160000003</v>
      </c>
      <c r="AH589" s="180"/>
      <c r="AM589" s="218">
        <v>83</v>
      </c>
      <c r="BS589" s="218">
        <v>48.303501099999998</v>
      </c>
      <c r="BT589" s="180"/>
      <c r="BU589" s="218">
        <v>19.467813499999998</v>
      </c>
      <c r="BV589" s="180"/>
    </row>
    <row r="590" spans="1:74">
      <c r="A590" s="154" t="s">
        <v>7870</v>
      </c>
      <c r="B590" s="224" t="s">
        <v>259</v>
      </c>
      <c r="C590" s="224" t="s">
        <v>405</v>
      </c>
      <c r="D590" s="224"/>
      <c r="E590" s="222">
        <v>1</v>
      </c>
      <c r="F590" s="225">
        <v>64</v>
      </c>
      <c r="G590" s="223"/>
      <c r="I590" s="253">
        <v>37</v>
      </c>
      <c r="S590" s="218">
        <v>1482.268192</v>
      </c>
      <c r="T590" s="180"/>
      <c r="Y590" s="218">
        <v>639.58433400000001</v>
      </c>
      <c r="Z590" s="180"/>
      <c r="AA590" s="218">
        <v>78948.145399999994</v>
      </c>
      <c r="AB590" s="180"/>
      <c r="AC590" s="252">
        <v>31.167354790000001</v>
      </c>
      <c r="AD590" s="180"/>
      <c r="AG590" s="218">
        <v>3.9478260870000002</v>
      </c>
      <c r="AH590" s="180"/>
      <c r="AM590" s="218">
        <v>87</v>
      </c>
      <c r="BS590" s="218">
        <v>47.558357200000003</v>
      </c>
      <c r="BT590" s="180"/>
      <c r="BU590" s="218">
        <v>20.520969399999998</v>
      </c>
      <c r="BV590" s="180"/>
    </row>
    <row r="591" spans="1:74">
      <c r="A591" s="154" t="s">
        <v>7870</v>
      </c>
      <c r="B591" s="224" t="s">
        <v>259</v>
      </c>
      <c r="C591" s="224" t="s">
        <v>7987</v>
      </c>
      <c r="D591" s="224"/>
      <c r="E591" s="222">
        <v>8</v>
      </c>
      <c r="F591" s="225">
        <v>3</v>
      </c>
      <c r="G591" s="223"/>
      <c r="I591" s="253">
        <v>30</v>
      </c>
      <c r="S591" s="218">
        <v>1477.633865</v>
      </c>
      <c r="T591" s="180"/>
      <c r="Y591" s="218">
        <v>649.8299657</v>
      </c>
      <c r="Z591" s="180"/>
      <c r="AA591" s="218">
        <v>75579.700419999994</v>
      </c>
      <c r="AB591" s="180"/>
      <c r="AC591" s="252">
        <v>31.519785379999998</v>
      </c>
      <c r="AD591" s="180"/>
      <c r="AG591" s="218">
        <v>4.170403587</v>
      </c>
      <c r="AH591" s="180"/>
      <c r="AM591" s="218">
        <v>83</v>
      </c>
      <c r="BS591" s="218">
        <v>46.879566199999999</v>
      </c>
      <c r="BT591" s="180"/>
      <c r="BU591" s="218">
        <v>20.616573299999999</v>
      </c>
      <c r="BV591" s="180"/>
    </row>
    <row r="592" spans="1:74">
      <c r="A592" s="154" t="s">
        <v>7870</v>
      </c>
      <c r="B592" s="224" t="s">
        <v>259</v>
      </c>
      <c r="C592" s="224" t="s">
        <v>7988</v>
      </c>
      <c r="D592" s="224"/>
      <c r="E592" s="222">
        <v>9</v>
      </c>
      <c r="F592" s="225">
        <v>59</v>
      </c>
      <c r="G592" s="223"/>
      <c r="I592" s="253">
        <v>41</v>
      </c>
      <c r="S592" s="218">
        <v>1710.2378679999999</v>
      </c>
      <c r="T592" s="180"/>
      <c r="Y592" s="218">
        <v>730.42278539999995</v>
      </c>
      <c r="Z592" s="180"/>
      <c r="AA592" s="218">
        <v>86817.691130000007</v>
      </c>
      <c r="AB592" s="180"/>
      <c r="AC592" s="252">
        <v>36.246583899999997</v>
      </c>
      <c r="AD592" s="180"/>
      <c r="AG592" s="218">
        <v>4.1750227889999998</v>
      </c>
      <c r="AH592" s="180"/>
      <c r="AM592" s="218">
        <v>87</v>
      </c>
      <c r="BS592" s="218">
        <v>47.183422100000001</v>
      </c>
      <c r="BT592" s="180"/>
      <c r="BU592" s="218">
        <v>20.1514931</v>
      </c>
      <c r="BV592" s="180"/>
    </row>
    <row r="593" spans="1:74">
      <c r="A593" s="154" t="s">
        <v>7870</v>
      </c>
      <c r="B593" s="224" t="s">
        <v>259</v>
      </c>
      <c r="C593" s="224" t="s">
        <v>7989</v>
      </c>
      <c r="D593" s="224"/>
      <c r="E593" s="222">
        <v>14</v>
      </c>
      <c r="F593" s="225">
        <v>2</v>
      </c>
      <c r="G593" s="223"/>
      <c r="I593" s="253">
        <v>29</v>
      </c>
      <c r="S593" s="218">
        <v>1329.278671</v>
      </c>
      <c r="T593" s="180"/>
      <c r="Y593" s="218">
        <v>568.77973420000001</v>
      </c>
      <c r="Z593" s="180"/>
      <c r="AA593" s="218">
        <v>76360.038759999996</v>
      </c>
      <c r="AB593" s="180"/>
      <c r="AC593" s="252">
        <v>28.158934980000002</v>
      </c>
      <c r="AD593" s="180"/>
      <c r="AG593" s="218" t="s">
        <v>7956</v>
      </c>
      <c r="AH593" s="180"/>
      <c r="AM593" s="218">
        <v>81</v>
      </c>
      <c r="BS593" s="218">
        <v>47.206283599999999</v>
      </c>
      <c r="BT593" s="180"/>
      <c r="BU593" s="218">
        <v>20.198907899999998</v>
      </c>
      <c r="BV593" s="180"/>
    </row>
    <row r="594" spans="1:74">
      <c r="A594" s="154" t="s">
        <v>7775</v>
      </c>
      <c r="B594" s="224" t="s">
        <v>257</v>
      </c>
      <c r="C594" s="224" t="s">
        <v>405</v>
      </c>
      <c r="D594" s="224"/>
      <c r="E594" s="223">
        <v>2</v>
      </c>
      <c r="F594" s="225">
        <v>12</v>
      </c>
      <c r="G594" s="223"/>
      <c r="I594" s="253">
        <v>38</v>
      </c>
      <c r="S594" s="218">
        <v>1406.296325</v>
      </c>
      <c r="T594" s="180"/>
      <c r="Y594" s="218">
        <v>491.76886100000002</v>
      </c>
      <c r="Z594" s="180"/>
      <c r="AA594" s="218">
        <v>63675.449189999999</v>
      </c>
      <c r="AB594" s="180"/>
      <c r="AC594" s="252">
        <v>27.13842945</v>
      </c>
      <c r="AD594" s="180"/>
      <c r="AG594" s="218">
        <v>4.26199262</v>
      </c>
      <c r="AH594" s="180"/>
      <c r="AM594" s="218">
        <v>101</v>
      </c>
      <c r="BS594" s="218">
        <v>51.819370300000003</v>
      </c>
      <c r="BT594" s="180"/>
      <c r="BU594" s="218">
        <v>18.120756100000001</v>
      </c>
      <c r="BV594" s="180"/>
    </row>
    <row r="595" spans="1:74">
      <c r="A595" s="154" t="s">
        <v>7775</v>
      </c>
      <c r="B595" s="224" t="s">
        <v>257</v>
      </c>
      <c r="C595" s="224" t="s">
        <v>7987</v>
      </c>
      <c r="D595" s="224"/>
      <c r="E595" s="223">
        <v>7</v>
      </c>
      <c r="F595" s="225">
        <v>57</v>
      </c>
      <c r="G595" s="223"/>
      <c r="I595" s="253">
        <v>40</v>
      </c>
      <c r="S595" s="218">
        <v>1618.1495480000001</v>
      </c>
      <c r="T595" s="180"/>
      <c r="Y595" s="218">
        <v>547.54317519999995</v>
      </c>
      <c r="Z595" s="180"/>
      <c r="AA595" s="218">
        <v>72457.503779999999</v>
      </c>
      <c r="AB595" s="180"/>
      <c r="AC595" s="252">
        <v>31.062800230000001</v>
      </c>
      <c r="AD595" s="180"/>
      <c r="AG595" s="218">
        <v>4.2870370370000002</v>
      </c>
      <c r="AH595" s="180"/>
      <c r="AM595" s="218">
        <v>99</v>
      </c>
      <c r="BS595" s="218">
        <v>52.092842099999999</v>
      </c>
      <c r="BT595" s="180"/>
      <c r="BU595" s="218">
        <v>17.626974100000002</v>
      </c>
      <c r="BV595" s="180"/>
    </row>
    <row r="596" spans="1:74">
      <c r="A596" s="154" t="s">
        <v>7775</v>
      </c>
      <c r="B596" s="224" t="s">
        <v>257</v>
      </c>
      <c r="C596" s="224" t="s">
        <v>7988</v>
      </c>
      <c r="D596" s="224"/>
      <c r="E596" s="222">
        <v>11</v>
      </c>
      <c r="F596" s="225">
        <v>9</v>
      </c>
      <c r="G596" s="223"/>
      <c r="I596" s="253">
        <v>34</v>
      </c>
      <c r="S596" s="218">
        <v>1240.3448069999999</v>
      </c>
      <c r="T596" s="180"/>
      <c r="Y596" s="218">
        <v>428.15937589999999</v>
      </c>
      <c r="Z596" s="180"/>
      <c r="AA596" s="218">
        <v>55722.819069999998</v>
      </c>
      <c r="AB596" s="180"/>
      <c r="AC596" s="252">
        <v>23.8227832</v>
      </c>
      <c r="AD596" s="180"/>
      <c r="AG596" s="218">
        <v>4.2752293579999998</v>
      </c>
      <c r="AH596" s="180"/>
      <c r="AM596" s="218">
        <v>99</v>
      </c>
      <c r="BS596" s="218">
        <v>52.065486900000003</v>
      </c>
      <c r="BT596" s="180"/>
      <c r="BU596" s="218">
        <v>17.972684900000001</v>
      </c>
      <c r="BV596" s="180"/>
    </row>
    <row r="597" spans="1:74">
      <c r="A597" s="154" t="s">
        <v>7775</v>
      </c>
      <c r="B597" s="224" t="s">
        <v>257</v>
      </c>
      <c r="C597" s="224" t="s">
        <v>7989</v>
      </c>
      <c r="D597" s="224"/>
      <c r="E597" s="222">
        <v>15</v>
      </c>
      <c r="F597" s="225">
        <v>36</v>
      </c>
      <c r="G597" s="223"/>
      <c r="I597" s="253">
        <v>37</v>
      </c>
      <c r="S597" s="218">
        <v>1598.6944040000001</v>
      </c>
      <c r="T597" s="180"/>
      <c r="Y597" s="218">
        <v>561.89150119999999</v>
      </c>
      <c r="Z597" s="180"/>
      <c r="AA597" s="218">
        <v>71518.37126</v>
      </c>
      <c r="AB597" s="180"/>
      <c r="AC597" s="252">
        <v>30.78171657</v>
      </c>
      <c r="AD597" s="180"/>
      <c r="AG597" s="218">
        <v>4.3040293040000002</v>
      </c>
      <c r="AH597" s="180"/>
      <c r="AM597" s="218">
        <v>92</v>
      </c>
      <c r="BS597" s="218">
        <v>51.936492899999998</v>
      </c>
      <c r="BT597" s="180"/>
      <c r="BU597" s="218">
        <v>18.2540665</v>
      </c>
      <c r="BV597" s="180"/>
    </row>
    <row r="598" spans="1:74">
      <c r="A598" s="154" t="s">
        <v>7775</v>
      </c>
      <c r="B598" s="224" t="s">
        <v>259</v>
      </c>
      <c r="C598" s="224" t="s">
        <v>405</v>
      </c>
      <c r="D598" s="224"/>
      <c r="E598" s="222">
        <v>4</v>
      </c>
      <c r="F598" s="225">
        <v>45</v>
      </c>
      <c r="G598" s="223"/>
      <c r="I598" s="253">
        <v>32</v>
      </c>
      <c r="S598" s="218">
        <v>1551.7794590000001</v>
      </c>
      <c r="T598" s="180"/>
      <c r="Y598" s="218">
        <v>566.89574330000005</v>
      </c>
      <c r="Z598" s="180"/>
      <c r="AA598" s="218">
        <v>71557.563869999998</v>
      </c>
      <c r="AB598" s="180"/>
      <c r="AC598" s="252">
        <v>30.078651959999998</v>
      </c>
      <c r="AD598" s="180"/>
      <c r="AG598" s="218">
        <v>4.2034203420000003</v>
      </c>
      <c r="AH598" s="180"/>
      <c r="AM598" s="218">
        <v>101</v>
      </c>
      <c r="BS598" s="218">
        <v>51.590724899999998</v>
      </c>
      <c r="BT598" s="180"/>
      <c r="BU598" s="218">
        <v>18.8471127</v>
      </c>
      <c r="BV598" s="180"/>
    </row>
    <row r="599" spans="1:74">
      <c r="A599" s="154" t="s">
        <v>7775</v>
      </c>
      <c r="B599" s="224" t="s">
        <v>259</v>
      </c>
      <c r="C599" s="224" t="s">
        <v>7987</v>
      </c>
      <c r="D599" s="224"/>
      <c r="E599" s="222">
        <v>8</v>
      </c>
      <c r="F599" s="225">
        <v>24</v>
      </c>
      <c r="G599" s="223"/>
      <c r="I599" s="253">
        <v>32</v>
      </c>
      <c r="S599" s="218">
        <v>1639.040393</v>
      </c>
      <c r="T599" s="180"/>
      <c r="Y599" s="218">
        <v>598.50778019999996</v>
      </c>
      <c r="Z599" s="180"/>
      <c r="AA599" s="218">
        <v>73304.177899999995</v>
      </c>
      <c r="AB599" s="180"/>
      <c r="AC599" s="252">
        <v>31.979726329999998</v>
      </c>
      <c r="AD599" s="180"/>
      <c r="AG599" s="218">
        <v>4.3626062320000001</v>
      </c>
      <c r="AH599" s="180"/>
      <c r="AM599" s="218">
        <v>101</v>
      </c>
      <c r="BS599" s="218">
        <v>51.252483400000003</v>
      </c>
      <c r="BT599" s="180"/>
      <c r="BU599" s="218">
        <v>18.715225199999999</v>
      </c>
      <c r="BV599" s="180"/>
    </row>
    <row r="600" spans="1:74">
      <c r="A600" s="154" t="s">
        <v>7775</v>
      </c>
      <c r="B600" s="224" t="s">
        <v>259</v>
      </c>
      <c r="C600" s="224" t="s">
        <v>7988</v>
      </c>
      <c r="D600" s="224"/>
      <c r="E600" s="223">
        <v>9</v>
      </c>
      <c r="F600" s="225">
        <v>63</v>
      </c>
      <c r="G600" s="223"/>
      <c r="I600" s="253">
        <v>39</v>
      </c>
      <c r="S600" s="218">
        <v>1832.559041</v>
      </c>
      <c r="T600" s="180"/>
      <c r="Y600" s="218">
        <v>678.82960309999999</v>
      </c>
      <c r="Z600" s="180"/>
      <c r="AA600" s="218">
        <v>84568.560159999994</v>
      </c>
      <c r="AB600" s="180"/>
      <c r="AC600" s="252">
        <v>36.11946915</v>
      </c>
      <c r="AD600" s="180"/>
      <c r="AG600" s="218">
        <v>4.2710280369999998</v>
      </c>
      <c r="AH600" s="180"/>
      <c r="AM600" s="218">
        <v>101</v>
      </c>
      <c r="BS600" s="218">
        <v>50.736045799999999</v>
      </c>
      <c r="BT600" s="180"/>
      <c r="BU600" s="218">
        <v>18.794008300000002</v>
      </c>
      <c r="BV600" s="180"/>
    </row>
    <row r="601" spans="1:74">
      <c r="A601" s="154" t="s">
        <v>7775</v>
      </c>
      <c r="B601" s="224" t="s">
        <v>259</v>
      </c>
      <c r="C601" s="224" t="s">
        <v>7989</v>
      </c>
      <c r="D601" s="224"/>
      <c r="E601" s="223">
        <v>13</v>
      </c>
      <c r="F601" s="225">
        <v>21</v>
      </c>
      <c r="G601" s="223"/>
      <c r="I601" s="253">
        <v>35</v>
      </c>
      <c r="S601" s="218">
        <v>1699.8754220000001</v>
      </c>
      <c r="T601" s="180"/>
      <c r="Y601" s="218">
        <v>620.26260100000002</v>
      </c>
      <c r="Z601" s="180"/>
      <c r="AA601" s="218">
        <v>79222.642449999999</v>
      </c>
      <c r="AB601" s="180"/>
      <c r="AC601" s="252">
        <v>33.174481520000001</v>
      </c>
      <c r="AD601" s="180"/>
      <c r="AG601" s="218">
        <v>4.1875</v>
      </c>
      <c r="AH601" s="180"/>
      <c r="AM601" s="218">
        <v>101</v>
      </c>
      <c r="BS601" s="218">
        <v>51.240451800000002</v>
      </c>
      <c r="BT601" s="180"/>
      <c r="BU601" s="218">
        <v>18.696979500000001</v>
      </c>
      <c r="BV601" s="180"/>
    </row>
    <row r="602" spans="1:74">
      <c r="A602" s="154" t="s">
        <v>7776</v>
      </c>
      <c r="B602" s="224" t="s">
        <v>257</v>
      </c>
      <c r="C602" s="224" t="s">
        <v>405</v>
      </c>
      <c r="D602" s="224"/>
      <c r="E602" s="222">
        <v>3</v>
      </c>
      <c r="F602" s="225">
        <v>17</v>
      </c>
      <c r="G602" s="223"/>
      <c r="I602" s="253">
        <v>35</v>
      </c>
      <c r="S602" s="218">
        <v>1592.97929</v>
      </c>
      <c r="T602" s="180"/>
      <c r="Y602" s="218">
        <v>537.93243129999996</v>
      </c>
      <c r="Z602" s="180"/>
      <c r="AA602" s="218">
        <v>64436.05242</v>
      </c>
      <c r="AB602" s="180"/>
      <c r="AC602" s="252">
        <v>30.907804079999998</v>
      </c>
      <c r="AD602" s="180"/>
      <c r="AG602" s="218">
        <v>4.7966631910000004</v>
      </c>
      <c r="AH602" s="180"/>
      <c r="AM602" s="218">
        <v>94</v>
      </c>
      <c r="BS602" s="218">
        <v>51.539710999999997</v>
      </c>
      <c r="BT602" s="180"/>
      <c r="BU602" s="218">
        <v>17.404420900000002</v>
      </c>
      <c r="BV602" s="180"/>
    </row>
    <row r="603" spans="1:74">
      <c r="A603" s="154" t="s">
        <v>7776</v>
      </c>
      <c r="B603" s="224" t="s">
        <v>257</v>
      </c>
      <c r="C603" s="224" t="s">
        <v>7987</v>
      </c>
      <c r="D603" s="224"/>
      <c r="E603" s="222">
        <v>6</v>
      </c>
      <c r="F603" s="225">
        <v>48</v>
      </c>
      <c r="G603" s="223"/>
      <c r="I603" s="253">
        <v>42</v>
      </c>
      <c r="S603" s="218">
        <v>1546.0599830000001</v>
      </c>
      <c r="T603" s="180"/>
      <c r="Y603" s="218">
        <v>529.4558303</v>
      </c>
      <c r="Z603" s="180"/>
      <c r="AA603" s="218">
        <v>66131.341880000007</v>
      </c>
      <c r="AB603" s="180"/>
      <c r="AC603" s="252">
        <v>30.235146579999999</v>
      </c>
      <c r="AD603" s="180"/>
      <c r="AG603" s="218">
        <v>4.5719844360000002</v>
      </c>
      <c r="AH603" s="180"/>
      <c r="AM603" s="218">
        <v>99</v>
      </c>
      <c r="BS603" s="218">
        <v>51.134529100000002</v>
      </c>
      <c r="BT603" s="180"/>
      <c r="BU603" s="218">
        <v>17.511270499999998</v>
      </c>
      <c r="BV603" s="180"/>
    </row>
    <row r="604" spans="1:74">
      <c r="A604" s="154" t="s">
        <v>7776</v>
      </c>
      <c r="B604" s="224" t="s">
        <v>257</v>
      </c>
      <c r="C604" s="224" t="s">
        <v>7988</v>
      </c>
      <c r="D604" s="224"/>
      <c r="E604" s="222">
        <v>10</v>
      </c>
      <c r="F604" s="225">
        <v>5</v>
      </c>
      <c r="G604" s="223"/>
      <c r="I604" s="253">
        <v>32</v>
      </c>
      <c r="S604" s="218">
        <v>1159.0600999999999</v>
      </c>
      <c r="T604" s="180"/>
      <c r="Y604" s="218">
        <v>397.0877739</v>
      </c>
      <c r="Z604" s="180"/>
      <c r="AA604" s="218">
        <v>46533.080379999999</v>
      </c>
      <c r="AB604" s="180"/>
      <c r="AC604" s="252">
        <v>22.54950547</v>
      </c>
      <c r="AD604" s="180"/>
      <c r="AG604" s="218">
        <v>4.8459086080000002</v>
      </c>
      <c r="AH604" s="180"/>
      <c r="AM604" s="218">
        <v>92</v>
      </c>
      <c r="BS604" s="218">
        <v>51.400688199999998</v>
      </c>
      <c r="BT604" s="180"/>
      <c r="BU604" s="218">
        <v>17.609600100000002</v>
      </c>
      <c r="BV604" s="180"/>
    </row>
    <row r="605" spans="1:74">
      <c r="A605" s="154" t="s">
        <v>7776</v>
      </c>
      <c r="B605" s="224" t="s">
        <v>257</v>
      </c>
      <c r="C605" s="224" t="s">
        <v>7989</v>
      </c>
      <c r="D605" s="224"/>
      <c r="E605" s="222">
        <v>14</v>
      </c>
      <c r="F605" s="225">
        <v>52</v>
      </c>
      <c r="G605" s="223"/>
      <c r="I605" s="253">
        <v>30</v>
      </c>
      <c r="S605" s="218">
        <v>1543.69767</v>
      </c>
      <c r="T605" s="180"/>
      <c r="Y605" s="218">
        <v>535.39692260000004</v>
      </c>
      <c r="Z605" s="180"/>
      <c r="AA605" s="218">
        <v>66636.49368</v>
      </c>
      <c r="AB605" s="180"/>
      <c r="AC605" s="252">
        <v>30.066901009999999</v>
      </c>
      <c r="AD605" s="180"/>
      <c r="AG605" s="218">
        <v>4.5120772950000001</v>
      </c>
      <c r="AH605" s="180"/>
      <c r="AM605" s="218">
        <v>99</v>
      </c>
      <c r="BS605" s="218">
        <v>51.342094400000001</v>
      </c>
      <c r="BT605" s="180"/>
      <c r="BU605" s="218">
        <v>17.8068542</v>
      </c>
      <c r="BV605" s="180"/>
    </row>
    <row r="606" spans="1:74">
      <c r="A606" s="154" t="s">
        <v>7776</v>
      </c>
      <c r="B606" s="224" t="s">
        <v>259</v>
      </c>
      <c r="C606" s="224" t="s">
        <v>405</v>
      </c>
      <c r="D606" s="224"/>
      <c r="E606" s="223">
        <v>1</v>
      </c>
      <c r="F606" s="225">
        <v>60</v>
      </c>
      <c r="G606" s="223"/>
      <c r="I606" s="253">
        <v>38</v>
      </c>
      <c r="S606" s="218">
        <v>1481.17049</v>
      </c>
      <c r="T606" s="180"/>
      <c r="Y606" s="218">
        <v>517.51371559999995</v>
      </c>
      <c r="Z606" s="180"/>
      <c r="AA606" s="218">
        <v>65729.040269999998</v>
      </c>
      <c r="AB606" s="180"/>
      <c r="AC606" s="252">
        <v>28.596805199999999</v>
      </c>
      <c r="AD606" s="180"/>
      <c r="AG606" s="218">
        <v>4.3507109000000002</v>
      </c>
      <c r="AH606" s="180"/>
      <c r="AM606" s="218">
        <v>101</v>
      </c>
      <c r="BS606" s="218">
        <v>51.794963799999998</v>
      </c>
      <c r="BT606" s="180"/>
      <c r="BU606" s="218">
        <v>18.096906700000002</v>
      </c>
      <c r="BV606" s="180"/>
    </row>
    <row r="607" spans="1:74">
      <c r="A607" s="154" t="s">
        <v>7776</v>
      </c>
      <c r="B607" s="224" t="s">
        <v>259</v>
      </c>
      <c r="C607" s="224" t="s">
        <v>7987</v>
      </c>
      <c r="D607" s="224"/>
      <c r="E607" s="223">
        <v>7</v>
      </c>
      <c r="F607" s="225">
        <v>7</v>
      </c>
      <c r="G607" s="223"/>
      <c r="I607" s="253">
        <v>36</v>
      </c>
      <c r="S607" s="218">
        <v>1217.331966</v>
      </c>
      <c r="T607" s="180"/>
      <c r="Y607" s="218">
        <v>481.73049309999999</v>
      </c>
      <c r="Z607" s="180"/>
      <c r="AA607" s="218">
        <v>51228.156640000001</v>
      </c>
      <c r="AB607" s="180"/>
      <c r="AC607" s="252">
        <v>24.511833150000001</v>
      </c>
      <c r="AD607" s="180"/>
      <c r="AG607" s="218">
        <v>4.7848360660000004</v>
      </c>
      <c r="AH607" s="180"/>
      <c r="AM607" s="218">
        <v>94</v>
      </c>
      <c r="BS607" s="218">
        <v>49.6630325</v>
      </c>
      <c r="BT607" s="180"/>
      <c r="BU607" s="218">
        <v>19.652977</v>
      </c>
      <c r="BV607" s="180"/>
    </row>
    <row r="608" spans="1:74">
      <c r="A608" s="154" t="s">
        <v>7776</v>
      </c>
      <c r="B608" s="224" t="s">
        <v>259</v>
      </c>
      <c r="C608" s="224" t="s">
        <v>7988</v>
      </c>
      <c r="D608" s="224"/>
      <c r="E608" s="222">
        <v>9</v>
      </c>
      <c r="F608" s="225">
        <v>54</v>
      </c>
      <c r="G608" s="223"/>
      <c r="I608" s="253">
        <v>29</v>
      </c>
      <c r="S608" s="218">
        <v>1760.7521830000001</v>
      </c>
      <c r="T608" s="180"/>
      <c r="Y608" s="218">
        <v>702.89082020000001</v>
      </c>
      <c r="Z608" s="180"/>
      <c r="AA608" s="218">
        <v>81134.869600000005</v>
      </c>
      <c r="AB608" s="180"/>
      <c r="AC608" s="252">
        <v>35.322975550000002</v>
      </c>
      <c r="AD608" s="180"/>
      <c r="AG608" s="218">
        <v>4.3536121669999996</v>
      </c>
      <c r="AH608" s="180"/>
      <c r="AM608" s="218">
        <v>101</v>
      </c>
      <c r="BS608" s="218">
        <v>49.847221400000002</v>
      </c>
      <c r="BT608" s="180"/>
      <c r="BU608" s="218">
        <v>19.898969699999999</v>
      </c>
      <c r="BV608" s="180"/>
    </row>
    <row r="609" spans="1:74">
      <c r="A609" s="154" t="s">
        <v>7776</v>
      </c>
      <c r="B609" s="224" t="s">
        <v>259</v>
      </c>
      <c r="C609" s="224" t="s">
        <v>7989</v>
      </c>
      <c r="D609" s="224"/>
      <c r="E609" s="222">
        <v>13</v>
      </c>
      <c r="F609" s="225">
        <v>12</v>
      </c>
      <c r="G609" s="223"/>
      <c r="I609" s="253">
        <v>40</v>
      </c>
      <c r="S609" s="218">
        <v>1558.492569</v>
      </c>
      <c r="T609" s="180"/>
      <c r="Y609" s="218">
        <v>631.26113369999996</v>
      </c>
      <c r="Z609" s="180"/>
      <c r="AA609" s="218">
        <v>71692.490349999993</v>
      </c>
      <c r="AB609" s="180"/>
      <c r="AC609" s="252">
        <v>31.651108959999998</v>
      </c>
      <c r="AD609" s="180"/>
      <c r="AG609" s="218">
        <v>4.414843007</v>
      </c>
      <c r="AH609" s="180"/>
      <c r="AM609" s="218">
        <v>92</v>
      </c>
      <c r="BS609" s="218">
        <v>49.239746099999998</v>
      </c>
      <c r="BT609" s="180"/>
      <c r="BU609" s="218">
        <v>19.944360700000001</v>
      </c>
      <c r="BV609" s="180"/>
    </row>
    <row r="610" spans="1:74">
      <c r="A610" s="154" t="s">
        <v>7777</v>
      </c>
      <c r="B610" s="224" t="s">
        <v>257</v>
      </c>
      <c r="C610" s="224" t="s">
        <v>405</v>
      </c>
      <c r="D610" s="224"/>
      <c r="E610" s="222">
        <v>3</v>
      </c>
      <c r="F610" s="225">
        <v>26</v>
      </c>
      <c r="G610" s="223"/>
      <c r="I610" s="253">
        <v>41</v>
      </c>
      <c r="S610" s="218">
        <v>1681.449329</v>
      </c>
      <c r="T610" s="180"/>
      <c r="Y610" s="218">
        <v>589.56199719999995</v>
      </c>
      <c r="Z610" s="180"/>
      <c r="AA610" s="218">
        <v>70027.366810000007</v>
      </c>
      <c r="AB610" s="180"/>
      <c r="AC610" s="252">
        <v>33.159598340000002</v>
      </c>
      <c r="AD610" s="180"/>
      <c r="AG610" s="218">
        <v>4.7352342160000003</v>
      </c>
      <c r="AH610" s="180"/>
      <c r="AM610" s="218">
        <v>94</v>
      </c>
      <c r="BS610" s="218">
        <v>50.707771299999997</v>
      </c>
      <c r="BT610" s="180"/>
      <c r="BU610" s="218">
        <v>17.779527699999999</v>
      </c>
      <c r="BV610" s="180"/>
    </row>
    <row r="611" spans="1:74">
      <c r="A611" s="154" t="s">
        <v>7777</v>
      </c>
      <c r="B611" s="224" t="s">
        <v>257</v>
      </c>
      <c r="C611" s="224" t="s">
        <v>7987</v>
      </c>
      <c r="D611" s="224"/>
      <c r="E611" s="222">
        <v>8</v>
      </c>
      <c r="F611" s="225">
        <v>64</v>
      </c>
      <c r="G611" s="223"/>
      <c r="I611" s="253">
        <v>35</v>
      </c>
      <c r="S611" s="218">
        <v>1699.133104</v>
      </c>
      <c r="T611" s="180"/>
      <c r="Y611" s="218">
        <v>691.59649439999998</v>
      </c>
      <c r="Z611" s="180"/>
      <c r="AA611" s="218">
        <v>75260.558860000005</v>
      </c>
      <c r="AB611" s="180"/>
      <c r="AC611" s="252">
        <v>35.01187032</v>
      </c>
      <c r="AD611" s="180"/>
      <c r="AG611" s="218">
        <v>4.6520874750000001</v>
      </c>
      <c r="AH611" s="180"/>
      <c r="AM611" s="218">
        <v>99</v>
      </c>
      <c r="BS611" s="218">
        <v>48.530200999999998</v>
      </c>
      <c r="BT611" s="180"/>
      <c r="BU611" s="218">
        <v>19.753200499999998</v>
      </c>
      <c r="BV611" s="180"/>
    </row>
    <row r="612" spans="1:74">
      <c r="A612" s="154" t="s">
        <v>7777</v>
      </c>
      <c r="B612" s="224" t="s">
        <v>257</v>
      </c>
      <c r="C612" s="224" t="s">
        <v>7988</v>
      </c>
      <c r="D612" s="224"/>
      <c r="E612" s="223">
        <v>9</v>
      </c>
      <c r="F612" s="225">
        <v>7</v>
      </c>
      <c r="G612" s="223"/>
      <c r="I612" s="253">
        <v>38</v>
      </c>
      <c r="S612" s="218">
        <v>1263.5328139999999</v>
      </c>
      <c r="T612" s="180"/>
      <c r="Y612" s="218">
        <v>488.03773330000001</v>
      </c>
      <c r="Z612" s="180"/>
      <c r="AA612" s="218">
        <v>51229.196539999997</v>
      </c>
      <c r="AB612" s="180"/>
      <c r="AC612" s="252">
        <v>25.58731968</v>
      </c>
      <c r="AD612" s="180"/>
      <c r="AG612" s="218">
        <v>4.9946751860000003</v>
      </c>
      <c r="AH612" s="180"/>
      <c r="AM612" s="218">
        <v>92</v>
      </c>
      <c r="BS612" s="218">
        <v>49.381210299999999</v>
      </c>
      <c r="BT612" s="180"/>
      <c r="BU612" s="218">
        <v>19.073421499999998</v>
      </c>
      <c r="BV612" s="180"/>
    </row>
    <row r="613" spans="1:74">
      <c r="A613" s="154" t="s">
        <v>7777</v>
      </c>
      <c r="B613" s="224" t="s">
        <v>257</v>
      </c>
      <c r="C613" s="224" t="s">
        <v>7989</v>
      </c>
      <c r="D613" s="224"/>
      <c r="E613" s="223">
        <v>15</v>
      </c>
      <c r="F613" s="225">
        <v>43</v>
      </c>
      <c r="G613" s="223"/>
      <c r="I613" s="253">
        <v>40</v>
      </c>
      <c r="S613" s="218">
        <v>1554.060796</v>
      </c>
      <c r="T613" s="180"/>
      <c r="Y613" s="218">
        <v>579.71083399999998</v>
      </c>
      <c r="Z613" s="180"/>
      <c r="AA613" s="218">
        <v>64231.946880000003</v>
      </c>
      <c r="AB613" s="180"/>
      <c r="AC613" s="252">
        <v>30.997179280000001</v>
      </c>
      <c r="AD613" s="180"/>
      <c r="AG613" s="218">
        <v>4.8258196719999997</v>
      </c>
      <c r="AH613" s="180"/>
      <c r="AM613" s="218">
        <v>94</v>
      </c>
      <c r="BS613" s="218">
        <v>50.1355553</v>
      </c>
      <c r="BT613" s="180"/>
      <c r="BU613" s="218">
        <v>18.7020512</v>
      </c>
      <c r="BV613" s="180"/>
    </row>
    <row r="614" spans="1:74">
      <c r="A614" s="154" t="s">
        <v>7777</v>
      </c>
      <c r="B614" s="224" t="s">
        <v>259</v>
      </c>
      <c r="C614" s="224" t="s">
        <v>405</v>
      </c>
      <c r="D614" s="224"/>
      <c r="E614" s="222">
        <v>2</v>
      </c>
      <c r="F614" s="225">
        <v>36</v>
      </c>
      <c r="G614" s="223"/>
      <c r="I614" s="253">
        <v>32</v>
      </c>
      <c r="S614" s="218">
        <v>1506.935986</v>
      </c>
      <c r="T614" s="180"/>
      <c r="Y614" s="218">
        <v>556.27839640000002</v>
      </c>
      <c r="Z614" s="180"/>
      <c r="AA614" s="218">
        <v>66934.448919999995</v>
      </c>
      <c r="AB614" s="180"/>
      <c r="AC614" s="252">
        <v>30.232719530000001</v>
      </c>
      <c r="AD614" s="180"/>
      <c r="AG614" s="218">
        <v>4.516765286</v>
      </c>
      <c r="AH614" s="180"/>
      <c r="AM614" s="218">
        <v>92</v>
      </c>
      <c r="BS614" s="218">
        <v>49.844539599999997</v>
      </c>
      <c r="BT614" s="180"/>
      <c r="BU614" s="218">
        <v>18.399879500000001</v>
      </c>
      <c r="BV614" s="180"/>
    </row>
    <row r="615" spans="1:74">
      <c r="A615" s="154" t="s">
        <v>7777</v>
      </c>
      <c r="B615" s="224" t="s">
        <v>259</v>
      </c>
      <c r="C615" s="224" t="s">
        <v>7987</v>
      </c>
      <c r="D615" s="224"/>
      <c r="E615" s="222">
        <v>5</v>
      </c>
      <c r="F615" s="225">
        <v>11</v>
      </c>
      <c r="G615" s="223"/>
      <c r="I615" s="253">
        <v>38</v>
      </c>
      <c r="S615" s="218">
        <v>1609.202276</v>
      </c>
      <c r="T615" s="180"/>
      <c r="Y615" s="218">
        <v>661.57625069999995</v>
      </c>
      <c r="Z615" s="180"/>
      <c r="AA615" s="218">
        <v>74556.285910000006</v>
      </c>
      <c r="AB615" s="180"/>
      <c r="AC615" s="252">
        <v>32.877984439999999</v>
      </c>
      <c r="AD615" s="180"/>
      <c r="AG615" s="218">
        <v>4.4098205850000003</v>
      </c>
      <c r="AH615" s="180"/>
      <c r="AM615" s="218">
        <v>94</v>
      </c>
      <c r="BS615" s="218">
        <v>48.944675400000001</v>
      </c>
      <c r="BT615" s="180"/>
      <c r="BU615" s="218">
        <v>20.1221657</v>
      </c>
      <c r="BV615" s="180"/>
    </row>
    <row r="616" spans="1:74">
      <c r="A616" s="154" t="s">
        <v>7777</v>
      </c>
      <c r="B616" s="224" t="s">
        <v>259</v>
      </c>
      <c r="C616" s="224" t="s">
        <v>7988</v>
      </c>
      <c r="D616" s="224"/>
      <c r="E616" s="222">
        <v>12</v>
      </c>
      <c r="F616" s="225">
        <v>57</v>
      </c>
      <c r="G616" s="223"/>
      <c r="I616" s="253">
        <v>44</v>
      </c>
      <c r="S616" s="218">
        <v>1890.3414290000001</v>
      </c>
      <c r="T616" s="180"/>
      <c r="Y616" s="218">
        <v>751.55309220000004</v>
      </c>
      <c r="Z616" s="180"/>
      <c r="AA616" s="218">
        <v>86001.461420000007</v>
      </c>
      <c r="AB616" s="180"/>
      <c r="AC616" s="252">
        <v>38.628494519999997</v>
      </c>
      <c r="AD616" s="180"/>
      <c r="AG616" s="218">
        <v>4.4916090820000001</v>
      </c>
      <c r="AH616" s="180"/>
      <c r="AM616" s="218">
        <v>99</v>
      </c>
      <c r="BS616" s="218">
        <v>48.936450999999998</v>
      </c>
      <c r="BT616" s="180"/>
      <c r="BU616" s="218">
        <v>19.455925000000001</v>
      </c>
      <c r="BV616" s="180"/>
    </row>
    <row r="617" spans="1:74">
      <c r="A617" s="154" t="s">
        <v>7777</v>
      </c>
      <c r="B617" s="224" t="s">
        <v>259</v>
      </c>
      <c r="C617" s="224" t="s">
        <v>7989</v>
      </c>
      <c r="D617" s="224"/>
      <c r="E617" s="222">
        <v>13</v>
      </c>
      <c r="F617" s="225">
        <v>5</v>
      </c>
      <c r="G617" s="223"/>
      <c r="I617" s="253">
        <v>35</v>
      </c>
      <c r="S617" s="218">
        <v>1713.766703</v>
      </c>
      <c r="T617" s="180"/>
      <c r="Y617" s="218">
        <v>684.54817830000002</v>
      </c>
      <c r="Z617" s="180"/>
      <c r="AA617" s="218">
        <v>72807.459929999997</v>
      </c>
      <c r="AB617" s="180"/>
      <c r="AC617" s="252">
        <v>34.788290969999998</v>
      </c>
      <c r="AD617" s="180"/>
      <c r="AG617" s="218">
        <v>4.7781217749999998</v>
      </c>
      <c r="AH617" s="180"/>
      <c r="AM617" s="218">
        <v>94</v>
      </c>
      <c r="BS617" s="218">
        <v>49.262744900000001</v>
      </c>
      <c r="BT617" s="180"/>
      <c r="BU617" s="218">
        <v>19.677545500000001</v>
      </c>
      <c r="BV617" s="180"/>
    </row>
    <row r="618" spans="1:74">
      <c r="A618" s="154" t="s">
        <v>7778</v>
      </c>
      <c r="B618" s="224" t="s">
        <v>257</v>
      </c>
      <c r="C618" s="224" t="s">
        <v>405</v>
      </c>
      <c r="D618" s="224"/>
      <c r="E618" s="223">
        <v>1</v>
      </c>
      <c r="F618" s="225">
        <v>27</v>
      </c>
      <c r="G618" s="223"/>
      <c r="I618" s="253">
        <v>36</v>
      </c>
      <c r="S618" s="218">
        <v>1488.193589</v>
      </c>
      <c r="T618" s="180"/>
      <c r="Y618" s="218">
        <v>506.30809490000001</v>
      </c>
      <c r="Z618" s="180"/>
      <c r="AA618" s="218">
        <v>62938.830580000002</v>
      </c>
      <c r="AB618" s="180"/>
      <c r="AC618" s="252">
        <v>29.484857569999999</v>
      </c>
      <c r="AD618" s="180"/>
      <c r="AG618" s="218">
        <v>4.6846846849999997</v>
      </c>
      <c r="AH618" s="180"/>
      <c r="AM618" s="218">
        <v>101</v>
      </c>
      <c r="BS618" s="218">
        <v>50.473148299999998</v>
      </c>
      <c r="BT618" s="180"/>
      <c r="BU618" s="218">
        <v>17.171800600000001</v>
      </c>
      <c r="BV618" s="180"/>
    </row>
    <row r="619" spans="1:74">
      <c r="A619" s="154" t="s">
        <v>7778</v>
      </c>
      <c r="B619" s="224" t="s">
        <v>257</v>
      </c>
      <c r="C619" s="224" t="s">
        <v>7987</v>
      </c>
      <c r="D619" s="224"/>
      <c r="E619" s="223">
        <v>8</v>
      </c>
      <c r="F619" s="225">
        <v>52</v>
      </c>
      <c r="G619" s="223"/>
      <c r="I619" s="253">
        <v>42</v>
      </c>
      <c r="S619" s="218">
        <v>1641.8665940000001</v>
      </c>
      <c r="T619" s="180"/>
      <c r="Y619" s="218">
        <v>563.21716730000003</v>
      </c>
      <c r="Z619" s="180"/>
      <c r="AA619" s="218">
        <v>69199.185190000004</v>
      </c>
      <c r="AB619" s="180"/>
      <c r="AC619" s="252">
        <v>32.552074070000003</v>
      </c>
      <c r="AD619" s="180"/>
      <c r="AG619" s="218">
        <v>4.7041123369999998</v>
      </c>
      <c r="AH619" s="180"/>
      <c r="AM619" s="218">
        <v>101</v>
      </c>
      <c r="BS619" s="218">
        <v>50.4381561</v>
      </c>
      <c r="BT619" s="180"/>
      <c r="BU619" s="218">
        <v>17.302036300000001</v>
      </c>
      <c r="BV619" s="180"/>
    </row>
    <row r="620" spans="1:74">
      <c r="A620" s="154" t="s">
        <v>7778</v>
      </c>
      <c r="B620" s="224" t="s">
        <v>257</v>
      </c>
      <c r="C620" s="224" t="s">
        <v>7988</v>
      </c>
      <c r="D620" s="224"/>
      <c r="E620" s="222">
        <v>10</v>
      </c>
      <c r="F620" s="225">
        <v>3</v>
      </c>
      <c r="G620" s="223"/>
      <c r="I620" s="253">
        <v>29</v>
      </c>
      <c r="S620" s="218">
        <v>982.68192429999999</v>
      </c>
      <c r="T620" s="180"/>
      <c r="Y620" s="218">
        <v>332.82313090000002</v>
      </c>
      <c r="Z620" s="180"/>
      <c r="AA620" s="218">
        <v>40942.880259999998</v>
      </c>
      <c r="AB620" s="180"/>
      <c r="AC620" s="252">
        <v>19.449996129999999</v>
      </c>
      <c r="AD620" s="180"/>
      <c r="AG620" s="218">
        <v>4.7505197509999997</v>
      </c>
      <c r="AH620" s="180"/>
      <c r="AM620" s="218">
        <v>101</v>
      </c>
      <c r="BS620" s="218">
        <v>50.523502299999997</v>
      </c>
      <c r="BT620" s="180"/>
      <c r="BU620" s="218">
        <v>17.111732499999999</v>
      </c>
      <c r="BV620" s="180"/>
    </row>
    <row r="621" spans="1:74">
      <c r="A621" s="154" t="s">
        <v>7778</v>
      </c>
      <c r="B621" s="224" t="s">
        <v>257</v>
      </c>
      <c r="C621" s="224" t="s">
        <v>7989</v>
      </c>
      <c r="D621" s="224"/>
      <c r="E621" s="222">
        <v>15</v>
      </c>
      <c r="F621" s="225">
        <v>45</v>
      </c>
      <c r="G621" s="223"/>
      <c r="I621" s="253">
        <v>45</v>
      </c>
      <c r="S621" s="218">
        <v>1680.034924</v>
      </c>
      <c r="T621" s="180"/>
      <c r="Y621" s="218">
        <v>619.49194179999995</v>
      </c>
      <c r="Z621" s="180"/>
      <c r="AA621" s="218">
        <v>71465.871329999994</v>
      </c>
      <c r="AB621" s="180"/>
      <c r="AC621" s="252">
        <v>33.61409827</v>
      </c>
      <c r="AD621" s="180"/>
      <c r="AG621" s="218">
        <v>4.7035175880000004</v>
      </c>
      <c r="AH621" s="180"/>
      <c r="AM621" s="218">
        <v>101</v>
      </c>
      <c r="BS621" s="218">
        <v>49.980068199999998</v>
      </c>
      <c r="BT621" s="180"/>
      <c r="BU621" s="218">
        <v>18.4295273</v>
      </c>
      <c r="BV621" s="180"/>
    </row>
    <row r="622" spans="1:74">
      <c r="A622" s="154" t="s">
        <v>7778</v>
      </c>
      <c r="B622" s="224" t="s">
        <v>259</v>
      </c>
      <c r="C622" s="224" t="s">
        <v>405</v>
      </c>
      <c r="D622" s="224"/>
      <c r="E622" s="222">
        <v>1</v>
      </c>
      <c r="F622" s="225">
        <v>54</v>
      </c>
      <c r="G622" s="223"/>
      <c r="I622" s="253">
        <v>39</v>
      </c>
      <c r="S622" s="218">
        <v>1434.264885</v>
      </c>
      <c r="T622" s="180"/>
      <c r="Y622" s="218">
        <v>520.46197700000005</v>
      </c>
      <c r="Z622" s="180"/>
      <c r="AA622" s="218">
        <v>62403.418089999999</v>
      </c>
      <c r="AB622" s="180"/>
      <c r="AC622" s="252">
        <v>28.720459819999999</v>
      </c>
      <c r="AD622" s="180"/>
      <c r="AG622" s="218">
        <v>4.6023856859999999</v>
      </c>
      <c r="AH622" s="180"/>
      <c r="AM622" s="218">
        <v>101</v>
      </c>
      <c r="BS622" s="218">
        <v>49.938785600000003</v>
      </c>
      <c r="BT622" s="180"/>
      <c r="BU622" s="218">
        <v>18.121645000000001</v>
      </c>
      <c r="BV622" s="180"/>
    </row>
    <row r="623" spans="1:74">
      <c r="A623" s="154" t="s">
        <v>7778</v>
      </c>
      <c r="B623" s="224" t="s">
        <v>259</v>
      </c>
      <c r="C623" s="224" t="s">
        <v>7987</v>
      </c>
      <c r="D623" s="224"/>
      <c r="E623" s="222">
        <v>5</v>
      </c>
      <c r="F623" s="225">
        <v>13</v>
      </c>
      <c r="G623" s="223"/>
      <c r="I623" s="253">
        <v>35</v>
      </c>
      <c r="S623" s="218">
        <v>1850.5247139999999</v>
      </c>
      <c r="T623" s="180"/>
      <c r="Y623" s="218">
        <v>664.22408029999997</v>
      </c>
      <c r="Z623" s="180"/>
      <c r="AA623" s="218">
        <v>79107.193710000007</v>
      </c>
      <c r="AB623" s="180"/>
      <c r="AC623" s="252">
        <v>37.091425170000001</v>
      </c>
      <c r="AD623" s="180"/>
      <c r="AG623" s="218">
        <v>4.6887550200000003</v>
      </c>
      <c r="AH623" s="180"/>
      <c r="AM623" s="218">
        <v>101</v>
      </c>
      <c r="BS623" s="218">
        <v>50.4258995</v>
      </c>
      <c r="BT623" s="180"/>
      <c r="BU623" s="218">
        <v>17.907753</v>
      </c>
      <c r="BV623" s="180"/>
    </row>
    <row r="624" spans="1:74">
      <c r="A624" s="154" t="s">
        <v>7778</v>
      </c>
      <c r="B624" s="224" t="s">
        <v>259</v>
      </c>
      <c r="C624" s="224" t="s">
        <v>7988</v>
      </c>
      <c r="D624" s="224"/>
      <c r="E624" s="223">
        <v>12</v>
      </c>
      <c r="F624" s="225">
        <v>56</v>
      </c>
      <c r="G624" s="223"/>
      <c r="I624" s="253">
        <v>36</v>
      </c>
      <c r="S624" s="218">
        <v>1985.9684930000001</v>
      </c>
      <c r="T624" s="180"/>
      <c r="Y624" s="218">
        <v>752.89546680000001</v>
      </c>
      <c r="Z624" s="180"/>
      <c r="AA624" s="218">
        <v>96305.202229999995</v>
      </c>
      <c r="AB624" s="180"/>
      <c r="AC624" s="252">
        <v>40.40593037</v>
      </c>
      <c r="AD624" s="180"/>
      <c r="AG624" s="218">
        <v>4.1956124309999998</v>
      </c>
      <c r="AH624" s="180"/>
      <c r="AM624" s="218">
        <v>105</v>
      </c>
      <c r="BS624" s="218">
        <v>49.150421100000003</v>
      </c>
      <c r="BT624" s="180"/>
      <c r="BU624" s="218">
        <v>18.633291199999999</v>
      </c>
      <c r="BV624" s="180"/>
    </row>
    <row r="625" spans="1:74">
      <c r="A625" s="154" t="s">
        <v>7778</v>
      </c>
      <c r="B625" s="224" t="s">
        <v>259</v>
      </c>
      <c r="C625" s="224" t="s">
        <v>7989</v>
      </c>
      <c r="D625" s="224"/>
      <c r="E625" s="223">
        <v>15</v>
      </c>
      <c r="F625" s="225">
        <v>7</v>
      </c>
      <c r="G625" s="223"/>
      <c r="I625" s="253">
        <v>33</v>
      </c>
      <c r="S625" s="218">
        <v>1916.9444329999999</v>
      </c>
      <c r="T625" s="180"/>
      <c r="Y625" s="218">
        <v>720.57097039999996</v>
      </c>
      <c r="Z625" s="180"/>
      <c r="AA625" s="218">
        <v>88727.044349999996</v>
      </c>
      <c r="AB625" s="180"/>
      <c r="AC625" s="252">
        <v>38.254585130000002</v>
      </c>
      <c r="AD625" s="180"/>
      <c r="AG625" s="218">
        <v>4.3114909780000001</v>
      </c>
      <c r="AH625" s="180"/>
      <c r="AM625" s="218">
        <v>101</v>
      </c>
      <c r="BS625" s="218">
        <v>50.110187500000002</v>
      </c>
      <c r="BT625" s="180"/>
      <c r="BU625" s="218">
        <v>18.836198799999998</v>
      </c>
      <c r="BV625" s="180"/>
    </row>
    <row r="626" spans="1:74">
      <c r="A626" s="154" t="s">
        <v>7779</v>
      </c>
      <c r="B626" s="224" t="s">
        <v>257</v>
      </c>
      <c r="C626" s="224" t="s">
        <v>405</v>
      </c>
      <c r="D626" s="224"/>
      <c r="E626" s="222">
        <v>3</v>
      </c>
      <c r="F626" s="225">
        <v>13</v>
      </c>
      <c r="G626" s="223"/>
      <c r="I626" s="253">
        <v>34</v>
      </c>
      <c r="S626" s="218">
        <v>1605.654724</v>
      </c>
      <c r="T626" s="180"/>
      <c r="Y626" s="218">
        <v>560.92688439999995</v>
      </c>
      <c r="Z626" s="180"/>
      <c r="AA626" s="218">
        <v>65378.37255</v>
      </c>
      <c r="AB626" s="180"/>
      <c r="AC626" s="252">
        <v>31.400608389999999</v>
      </c>
      <c r="AD626" s="180"/>
      <c r="AG626" s="218">
        <v>4.8029045640000003</v>
      </c>
      <c r="AH626" s="180"/>
      <c r="AM626" s="218">
        <v>92</v>
      </c>
      <c r="BS626" s="218">
        <v>51.134509999999999</v>
      </c>
      <c r="BT626" s="180"/>
      <c r="BU626" s="218">
        <v>17.863567400000001</v>
      </c>
      <c r="BV626" s="180"/>
    </row>
    <row r="627" spans="1:74">
      <c r="A627" s="154" t="s">
        <v>7779</v>
      </c>
      <c r="B627" s="224" t="s">
        <v>257</v>
      </c>
      <c r="C627" s="224" t="s">
        <v>7987</v>
      </c>
      <c r="D627" s="224"/>
      <c r="E627" s="222">
        <v>8</v>
      </c>
      <c r="F627" s="225">
        <v>41</v>
      </c>
      <c r="G627" s="223"/>
      <c r="I627" s="253">
        <v>36</v>
      </c>
      <c r="S627" s="218">
        <v>1489.10123</v>
      </c>
      <c r="T627" s="180"/>
      <c r="Y627" s="218">
        <v>566.3198347</v>
      </c>
      <c r="Z627" s="180"/>
      <c r="AA627" s="218">
        <v>61274.549099999997</v>
      </c>
      <c r="AB627" s="180"/>
      <c r="AC627" s="252">
        <v>29.348937880000001</v>
      </c>
      <c r="AD627" s="180"/>
      <c r="AG627" s="218">
        <v>4.7897435899999996</v>
      </c>
      <c r="AH627" s="180"/>
      <c r="AM627" s="218">
        <v>92</v>
      </c>
      <c r="BS627" s="218">
        <v>50.737823499999998</v>
      </c>
      <c r="BT627" s="180"/>
      <c r="BU627" s="218">
        <v>19.296092999999999</v>
      </c>
      <c r="BV627" s="180"/>
    </row>
    <row r="628" spans="1:74">
      <c r="A628" s="154" t="s">
        <v>7779</v>
      </c>
      <c r="B628" s="224" t="s">
        <v>257</v>
      </c>
      <c r="C628" s="224" t="s">
        <v>7988</v>
      </c>
      <c r="D628" s="224"/>
      <c r="E628" s="222">
        <v>11</v>
      </c>
      <c r="F628" s="225">
        <v>23</v>
      </c>
      <c r="G628" s="223"/>
      <c r="I628" s="253">
        <v>33</v>
      </c>
      <c r="S628" s="218">
        <v>2005.6777300000001</v>
      </c>
      <c r="T628" s="180"/>
      <c r="Y628" s="218">
        <v>720.58439039999996</v>
      </c>
      <c r="Z628" s="180"/>
      <c r="AA628" s="218">
        <v>83043.986749999996</v>
      </c>
      <c r="AB628" s="180"/>
      <c r="AC628" s="252">
        <v>39.19405287</v>
      </c>
      <c r="AD628" s="180"/>
      <c r="AG628" s="218">
        <v>4.719673802</v>
      </c>
      <c r="AH628" s="180"/>
      <c r="AM628" s="218">
        <v>92</v>
      </c>
      <c r="BS628" s="218">
        <v>51.173011799999998</v>
      </c>
      <c r="BT628" s="180"/>
      <c r="BU628" s="218">
        <v>18.385044100000002</v>
      </c>
      <c r="BV628" s="180"/>
    </row>
    <row r="629" spans="1:74">
      <c r="A629" s="154" t="s">
        <v>7779</v>
      </c>
      <c r="B629" s="224" t="s">
        <v>257</v>
      </c>
      <c r="C629" s="224" t="s">
        <v>7989</v>
      </c>
      <c r="D629" s="224"/>
      <c r="E629" s="222">
        <v>16</v>
      </c>
      <c r="F629" s="225">
        <v>49</v>
      </c>
      <c r="G629" s="223"/>
      <c r="I629" s="253">
        <v>34</v>
      </c>
      <c r="S629" s="218">
        <v>1671.621046</v>
      </c>
      <c r="T629" s="180"/>
      <c r="Y629" s="218">
        <v>613.35710659999995</v>
      </c>
      <c r="Z629" s="180"/>
      <c r="AA629" s="218">
        <v>69739.646040000007</v>
      </c>
      <c r="AB629" s="180"/>
      <c r="AC629" s="252">
        <v>32.971667330000002</v>
      </c>
      <c r="AD629" s="180"/>
      <c r="AG629" s="218">
        <v>4.7278225809999999</v>
      </c>
      <c r="AH629" s="180"/>
      <c r="AM629" s="218">
        <v>92</v>
      </c>
      <c r="BS629" s="218">
        <v>50.698711400000001</v>
      </c>
      <c r="BT629" s="180"/>
      <c r="BU629" s="218">
        <v>18.6025505</v>
      </c>
      <c r="BV629" s="180"/>
    </row>
    <row r="630" spans="1:74">
      <c r="A630" s="154" t="s">
        <v>7779</v>
      </c>
      <c r="B630" s="224" t="s">
        <v>259</v>
      </c>
      <c r="C630" s="224" t="s">
        <v>405</v>
      </c>
      <c r="D630" s="224"/>
      <c r="E630" s="223">
        <v>2</v>
      </c>
      <c r="F630" s="225">
        <v>60</v>
      </c>
      <c r="G630" s="223"/>
      <c r="I630" s="253">
        <v>33</v>
      </c>
      <c r="S630" s="218">
        <v>1622.507797</v>
      </c>
      <c r="T630" s="180"/>
      <c r="Y630" s="218">
        <v>602.19762879999996</v>
      </c>
      <c r="Z630" s="180"/>
      <c r="AA630" s="218">
        <v>76253.169710000002</v>
      </c>
      <c r="AB630" s="180"/>
      <c r="AC630" s="252">
        <v>32.058600329999997</v>
      </c>
      <c r="AD630" s="180"/>
      <c r="AG630" s="218">
        <v>4.2042318310000004</v>
      </c>
      <c r="AH630" s="180"/>
      <c r="AM630" s="218">
        <v>92</v>
      </c>
      <c r="BS630" s="218">
        <v>50.610687300000002</v>
      </c>
      <c r="BT630" s="180"/>
      <c r="BU630" s="218">
        <v>18.784276999999999</v>
      </c>
      <c r="BV630" s="180"/>
    </row>
    <row r="631" spans="1:74">
      <c r="A631" s="154" t="s">
        <v>7779</v>
      </c>
      <c r="B631" s="224" t="s">
        <v>259</v>
      </c>
      <c r="C631" s="224" t="s">
        <v>7987</v>
      </c>
      <c r="D631" s="224"/>
      <c r="E631" s="223">
        <v>8</v>
      </c>
      <c r="F631" s="225">
        <v>12</v>
      </c>
      <c r="G631" s="223"/>
      <c r="I631" s="253">
        <v>28</v>
      </c>
      <c r="S631" s="218">
        <v>1652.7686349999999</v>
      </c>
      <c r="T631" s="180"/>
      <c r="Y631" s="218">
        <v>629.75459379999995</v>
      </c>
      <c r="Z631" s="180"/>
      <c r="AA631" s="218">
        <v>68126.637270000007</v>
      </c>
      <c r="AB631" s="180"/>
      <c r="AC631" s="252">
        <v>32.817533730000001</v>
      </c>
      <c r="AD631" s="180"/>
      <c r="AG631" s="218">
        <v>4.8171368860000001</v>
      </c>
      <c r="AH631" s="180"/>
      <c r="AM631" s="218">
        <v>92</v>
      </c>
      <c r="BS631" s="218">
        <v>50.362365699999998</v>
      </c>
      <c r="BT631" s="180"/>
      <c r="BU631" s="218">
        <v>19.189577100000001</v>
      </c>
      <c r="BV631" s="180"/>
    </row>
    <row r="632" spans="1:74">
      <c r="A632" s="154" t="s">
        <v>7779</v>
      </c>
      <c r="B632" s="224" t="s">
        <v>259</v>
      </c>
      <c r="C632" s="224" t="s">
        <v>7988</v>
      </c>
      <c r="D632" s="224"/>
      <c r="E632" s="222">
        <v>10</v>
      </c>
      <c r="F632" s="225">
        <v>46</v>
      </c>
      <c r="G632" s="223"/>
      <c r="I632" s="253">
        <v>38</v>
      </c>
      <c r="S632" s="218">
        <v>1833.3053420000001</v>
      </c>
      <c r="T632" s="180"/>
      <c r="Y632" s="218">
        <v>678.3233285</v>
      </c>
      <c r="Z632" s="180"/>
      <c r="AA632" s="218">
        <v>78213.673450000002</v>
      </c>
      <c r="AB632" s="180"/>
      <c r="AC632" s="252">
        <v>36.525785499999998</v>
      </c>
      <c r="AD632" s="180"/>
      <c r="AG632" s="218">
        <v>4.67</v>
      </c>
      <c r="AH632" s="180"/>
      <c r="AM632" s="218">
        <v>92</v>
      </c>
      <c r="BS632" s="218">
        <v>50.192085300000002</v>
      </c>
      <c r="BT632" s="180"/>
      <c r="BU632" s="218">
        <v>18.571081199999998</v>
      </c>
      <c r="BV632" s="180"/>
    </row>
    <row r="633" spans="1:74">
      <c r="A633" s="154" t="s">
        <v>7779</v>
      </c>
      <c r="B633" s="224" t="s">
        <v>259</v>
      </c>
      <c r="C633" s="224" t="s">
        <v>7989</v>
      </c>
      <c r="D633" s="224"/>
      <c r="E633" s="222">
        <v>16</v>
      </c>
      <c r="F633" s="225">
        <v>18</v>
      </c>
      <c r="G633" s="223"/>
      <c r="I633" s="253">
        <v>30</v>
      </c>
      <c r="S633" s="218">
        <v>1570.4579100000001</v>
      </c>
      <c r="T633" s="180"/>
      <c r="Y633" s="218">
        <v>610.59448659999998</v>
      </c>
      <c r="Z633" s="180"/>
      <c r="AA633" s="218">
        <v>67137.702229999995</v>
      </c>
      <c r="AB633" s="180"/>
      <c r="AC633" s="252">
        <v>31.820116280000001</v>
      </c>
      <c r="AD633" s="180"/>
      <c r="AG633" s="218">
        <v>4.7395301329999997</v>
      </c>
      <c r="AH633" s="180"/>
      <c r="AM633" s="218">
        <v>92</v>
      </c>
      <c r="BS633" s="218">
        <v>49.354247999999998</v>
      </c>
      <c r="BT633" s="180"/>
      <c r="BU633" s="218">
        <v>19.188945799999999</v>
      </c>
      <c r="BV633" s="180"/>
    </row>
    <row r="634" spans="1:74">
      <c r="A634" s="154" t="s">
        <v>7780</v>
      </c>
      <c r="B634" s="224" t="s">
        <v>257</v>
      </c>
      <c r="C634" s="224" t="s">
        <v>405</v>
      </c>
      <c r="D634" s="224"/>
      <c r="E634" s="222">
        <v>1</v>
      </c>
      <c r="F634" s="225">
        <v>17</v>
      </c>
      <c r="G634" s="223"/>
      <c r="I634" s="253">
        <v>38</v>
      </c>
      <c r="S634" s="218">
        <v>1306.651664</v>
      </c>
      <c r="T634" s="180"/>
      <c r="Y634" s="218">
        <v>485.31531039999999</v>
      </c>
      <c r="Z634" s="180"/>
      <c r="AA634" s="218">
        <v>54450.269260000001</v>
      </c>
      <c r="AB634" s="180"/>
      <c r="AC634" s="252">
        <v>26.176924450000001</v>
      </c>
      <c r="AD634" s="180"/>
      <c r="AG634" s="218">
        <v>4.8074921960000001</v>
      </c>
      <c r="AH634" s="180"/>
      <c r="AM634" s="218">
        <v>101</v>
      </c>
      <c r="BS634" s="218">
        <v>49.9161644</v>
      </c>
      <c r="BT634" s="180"/>
      <c r="BU634" s="218">
        <v>18.539814</v>
      </c>
      <c r="BV634" s="180"/>
    </row>
    <row r="635" spans="1:74">
      <c r="A635" s="154" t="s">
        <v>7780</v>
      </c>
      <c r="B635" s="224" t="s">
        <v>257</v>
      </c>
      <c r="C635" s="224" t="s">
        <v>7987</v>
      </c>
      <c r="D635" s="224"/>
      <c r="E635" s="222">
        <v>7</v>
      </c>
      <c r="F635" s="225">
        <v>56</v>
      </c>
      <c r="G635" s="223"/>
      <c r="I635" s="253">
        <v>45</v>
      </c>
      <c r="S635" s="218">
        <v>1883.7873930000001</v>
      </c>
      <c r="T635" s="180"/>
      <c r="Y635" s="218">
        <v>714.06218669999998</v>
      </c>
      <c r="Z635" s="180"/>
      <c r="AA635" s="218">
        <v>78103.861059999996</v>
      </c>
      <c r="AB635" s="180"/>
      <c r="AC635" s="252">
        <v>37.752905810000001</v>
      </c>
      <c r="AD635" s="180"/>
      <c r="AG635" s="218">
        <v>4.8336798339999998</v>
      </c>
      <c r="AH635" s="180"/>
      <c r="AM635" s="218">
        <v>101</v>
      </c>
      <c r="BS635" s="218">
        <v>49.897811900000001</v>
      </c>
      <c r="BT635" s="180"/>
      <c r="BU635" s="218">
        <v>18.9140987</v>
      </c>
      <c r="BV635" s="180"/>
    </row>
    <row r="636" spans="1:74">
      <c r="A636" s="154" t="s">
        <v>7780</v>
      </c>
      <c r="B636" s="224" t="s">
        <v>257</v>
      </c>
      <c r="C636" s="224" t="s">
        <v>7988</v>
      </c>
      <c r="D636" s="224"/>
      <c r="E636" s="223">
        <v>9</v>
      </c>
      <c r="F636" s="225">
        <v>15</v>
      </c>
      <c r="G636" s="223"/>
      <c r="I636" s="253">
        <v>33</v>
      </c>
      <c r="S636" s="218">
        <v>1644.2291319999999</v>
      </c>
      <c r="T636" s="180"/>
      <c r="Y636" s="218">
        <v>615.24963079999998</v>
      </c>
      <c r="Z636" s="180"/>
      <c r="AA636" s="218">
        <v>65495.739930000003</v>
      </c>
      <c r="AB636" s="180"/>
      <c r="AC636" s="252">
        <v>32.853621969999999</v>
      </c>
      <c r="AD636" s="180"/>
      <c r="AG636" s="218">
        <v>5.0161463939999997</v>
      </c>
      <c r="AH636" s="180"/>
      <c r="AM636" s="218">
        <v>101</v>
      </c>
      <c r="BS636" s="218">
        <v>50.047119100000003</v>
      </c>
      <c r="BT636" s="180"/>
      <c r="BU636" s="218">
        <v>18.726995500000001</v>
      </c>
      <c r="BV636" s="180"/>
    </row>
    <row r="637" spans="1:74">
      <c r="A637" s="154" t="s">
        <v>7780</v>
      </c>
      <c r="B637" s="224" t="s">
        <v>257</v>
      </c>
      <c r="C637" s="224" t="s">
        <v>7989</v>
      </c>
      <c r="D637" s="224"/>
      <c r="E637" s="223">
        <v>16</v>
      </c>
      <c r="F637" s="225">
        <v>53</v>
      </c>
      <c r="G637" s="223"/>
      <c r="I637" s="253">
        <v>32</v>
      </c>
      <c r="S637" s="218">
        <v>1809.2388060000001</v>
      </c>
      <c r="T637" s="180"/>
      <c r="Y637" s="218">
        <v>689.30889760000002</v>
      </c>
      <c r="Z637" s="180"/>
      <c r="AA637" s="218">
        <v>79525.018779999999</v>
      </c>
      <c r="AB637" s="180"/>
      <c r="AC637" s="252">
        <v>36.716028569999999</v>
      </c>
      <c r="AD637" s="180"/>
      <c r="AG637" s="218">
        <v>4.616915423</v>
      </c>
      <c r="AH637" s="180"/>
      <c r="AM637" s="218">
        <v>101</v>
      </c>
      <c r="BS637" s="218">
        <v>49.276538799999997</v>
      </c>
      <c r="BT637" s="180"/>
      <c r="BU637" s="218">
        <v>18.774059300000001</v>
      </c>
      <c r="BV637" s="180"/>
    </row>
    <row r="638" spans="1:74">
      <c r="A638" s="154" t="s">
        <v>7780</v>
      </c>
      <c r="B638" s="224" t="s">
        <v>259</v>
      </c>
      <c r="C638" s="224" t="s">
        <v>405</v>
      </c>
      <c r="D638" s="224"/>
      <c r="E638" s="222">
        <v>3</v>
      </c>
      <c r="F638" s="225">
        <v>35</v>
      </c>
      <c r="G638" s="223"/>
      <c r="I638" s="253">
        <v>41</v>
      </c>
      <c r="S638" s="218">
        <v>1791.4696260000001</v>
      </c>
      <c r="T638" s="180"/>
      <c r="Y638" s="218">
        <v>694.21604060000004</v>
      </c>
      <c r="Z638" s="180"/>
      <c r="AA638" s="218">
        <v>74188.766069999998</v>
      </c>
      <c r="AB638" s="180"/>
      <c r="AC638" s="252">
        <v>36.38707488</v>
      </c>
      <c r="AD638" s="180"/>
      <c r="AG638" s="218">
        <v>4.9046610169999996</v>
      </c>
      <c r="AH638" s="180"/>
      <c r="AM638" s="218">
        <v>101</v>
      </c>
      <c r="BS638" s="218">
        <v>49.233680700000001</v>
      </c>
      <c r="BT638" s="180"/>
      <c r="BU638" s="218">
        <v>19.078643799999998</v>
      </c>
      <c r="BV638" s="180"/>
    </row>
    <row r="639" spans="1:74">
      <c r="A639" s="154" t="s">
        <v>7780</v>
      </c>
      <c r="B639" s="224" t="s">
        <v>259</v>
      </c>
      <c r="C639" s="224" t="s">
        <v>7987</v>
      </c>
      <c r="D639" s="224"/>
      <c r="E639" s="222">
        <v>5</v>
      </c>
      <c r="F639" s="225">
        <v>25</v>
      </c>
      <c r="G639" s="223"/>
      <c r="I639" s="253">
        <v>42</v>
      </c>
      <c r="S639" s="218">
        <v>1687.4242750000001</v>
      </c>
      <c r="T639" s="180"/>
      <c r="Y639" s="218">
        <v>662.1743371</v>
      </c>
      <c r="Z639" s="180"/>
      <c r="AA639" s="218">
        <v>70283.151440000001</v>
      </c>
      <c r="AB639" s="180"/>
      <c r="AC639" s="252">
        <v>34.442423949999998</v>
      </c>
      <c r="AD639" s="180"/>
      <c r="AG639" s="218">
        <v>4.9005235599999999</v>
      </c>
      <c r="AH639" s="180"/>
      <c r="AM639" s="218">
        <v>101</v>
      </c>
      <c r="BS639" s="218">
        <v>48.992610900000003</v>
      </c>
      <c r="BT639" s="180"/>
      <c r="BU639" s="218">
        <v>19.225543999999999</v>
      </c>
      <c r="BV639" s="180"/>
    </row>
    <row r="640" spans="1:74">
      <c r="A640" s="154" t="s">
        <v>7780</v>
      </c>
      <c r="B640" s="224" t="s">
        <v>259</v>
      </c>
      <c r="C640" s="224" t="s">
        <v>7988</v>
      </c>
      <c r="D640" s="224"/>
      <c r="E640" s="222">
        <v>10</v>
      </c>
      <c r="F640" s="225">
        <v>62</v>
      </c>
      <c r="G640" s="223"/>
      <c r="I640" s="253">
        <v>41</v>
      </c>
      <c r="S640" s="218">
        <v>2247.0472589999999</v>
      </c>
      <c r="T640" s="180"/>
      <c r="Y640" s="218">
        <v>844.32026759999997</v>
      </c>
      <c r="Z640" s="180"/>
      <c r="AA640" s="218">
        <v>96938.471290000001</v>
      </c>
      <c r="AB640" s="180"/>
      <c r="AC640" s="252">
        <v>45.014003010000003</v>
      </c>
      <c r="AD640" s="180"/>
      <c r="AG640" s="218">
        <v>4.6435643559999997</v>
      </c>
      <c r="AH640" s="180"/>
      <c r="AM640" s="218">
        <v>101</v>
      </c>
      <c r="BS640" s="218">
        <v>49.918849899999998</v>
      </c>
      <c r="BT640" s="180"/>
      <c r="BU640" s="218">
        <v>18.756835899999999</v>
      </c>
      <c r="BV640" s="180"/>
    </row>
    <row r="641" spans="1:74">
      <c r="A641" s="154" t="s">
        <v>7780</v>
      </c>
      <c r="B641" s="224" t="s">
        <v>259</v>
      </c>
      <c r="C641" s="224" t="s">
        <v>7989</v>
      </c>
      <c r="D641" s="224"/>
      <c r="E641" s="222">
        <v>14</v>
      </c>
      <c r="F641" s="225">
        <v>5</v>
      </c>
      <c r="G641" s="223"/>
      <c r="I641" s="253">
        <v>32</v>
      </c>
      <c r="S641" s="218">
        <v>1653.6902669999999</v>
      </c>
      <c r="T641" s="180"/>
      <c r="Y641" s="218">
        <v>642.75740940000003</v>
      </c>
      <c r="Z641" s="180"/>
      <c r="AA641" s="218">
        <v>69619.028709999999</v>
      </c>
      <c r="AB641" s="180"/>
      <c r="AC641" s="252">
        <v>33.792117269999999</v>
      </c>
      <c r="AD641" s="180"/>
      <c r="AG641" s="218">
        <v>4.8538622130000002</v>
      </c>
      <c r="AH641" s="180"/>
      <c r="AM641" s="218">
        <v>101</v>
      </c>
      <c r="BS641" s="218">
        <v>48.937160499999997</v>
      </c>
      <c r="BT641" s="180"/>
      <c r="BU641" s="218">
        <v>19.020927400000001</v>
      </c>
      <c r="BV641" s="180"/>
    </row>
    <row r="642" spans="1:74">
      <c r="A642" s="154" t="s">
        <v>7871</v>
      </c>
      <c r="B642" s="224" t="s">
        <v>257</v>
      </c>
      <c r="C642" s="224" t="s">
        <v>405</v>
      </c>
      <c r="D642" s="224"/>
      <c r="E642" s="223">
        <v>3</v>
      </c>
      <c r="F642" s="225">
        <v>16</v>
      </c>
      <c r="G642" s="223"/>
      <c r="I642" s="253">
        <v>36</v>
      </c>
      <c r="S642" s="218">
        <v>1254.0663709999999</v>
      </c>
      <c r="T642" s="180"/>
      <c r="Y642" s="218">
        <v>484.67609950000002</v>
      </c>
      <c r="Z642" s="180"/>
      <c r="AA642" s="218">
        <v>54992.446519999998</v>
      </c>
      <c r="AB642" s="180"/>
      <c r="AC642" s="252">
        <v>25.998484479999998</v>
      </c>
      <c r="AD642" s="180"/>
      <c r="AG642" s="218">
        <v>4.7276464540000003</v>
      </c>
      <c r="AH642" s="180"/>
      <c r="AM642" s="218">
        <v>94</v>
      </c>
      <c r="BS642" s="218">
        <v>48.236133600000002</v>
      </c>
      <c r="BT642" s="180"/>
      <c r="BU642" s="218">
        <v>18.642475099999999</v>
      </c>
      <c r="BV642" s="180"/>
    </row>
    <row r="643" spans="1:74">
      <c r="A643" s="154" t="s">
        <v>7871</v>
      </c>
      <c r="B643" s="224" t="s">
        <v>257</v>
      </c>
      <c r="C643" s="224" t="s">
        <v>7987</v>
      </c>
      <c r="D643" s="224"/>
      <c r="E643" s="223">
        <v>6</v>
      </c>
      <c r="F643" s="225">
        <v>46</v>
      </c>
      <c r="G643" s="223"/>
      <c r="I643" s="253">
        <v>44</v>
      </c>
      <c r="S643" s="218">
        <v>1433.571087</v>
      </c>
      <c r="T643" s="180"/>
      <c r="Y643" s="218">
        <v>551.33012570000005</v>
      </c>
      <c r="Z643" s="180"/>
      <c r="AA643" s="218">
        <v>60358.6967</v>
      </c>
      <c r="AB643" s="180"/>
      <c r="AC643" s="252">
        <v>29.175461500000001</v>
      </c>
      <c r="AD643" s="180"/>
      <c r="AG643" s="218">
        <v>4.8336798339999998</v>
      </c>
      <c r="AH643" s="180"/>
      <c r="AM643" s="218">
        <v>92</v>
      </c>
      <c r="BS643" s="218">
        <v>49.136192299999998</v>
      </c>
      <c r="BT643" s="180"/>
      <c r="BU643" s="218">
        <v>18.897048999999999</v>
      </c>
      <c r="BV643" s="180"/>
    </row>
    <row r="644" spans="1:74">
      <c r="A644" s="154" t="s">
        <v>7871</v>
      </c>
      <c r="B644" s="224" t="s">
        <v>257</v>
      </c>
      <c r="C644" s="224" t="s">
        <v>7988</v>
      </c>
      <c r="D644" s="224"/>
      <c r="E644" s="222">
        <v>10</v>
      </c>
      <c r="F644" s="225">
        <v>10</v>
      </c>
      <c r="G644" s="223"/>
      <c r="I644" s="253">
        <v>38</v>
      </c>
      <c r="S644" s="218">
        <v>1261.561111</v>
      </c>
      <c r="T644" s="180"/>
      <c r="Y644" s="218">
        <v>455.46152610000001</v>
      </c>
      <c r="Z644" s="180"/>
      <c r="AA644" s="218">
        <v>52298.162759999999</v>
      </c>
      <c r="AB644" s="180"/>
      <c r="AC644" s="252">
        <v>25.27012066</v>
      </c>
      <c r="AD644" s="180"/>
      <c r="AG644" s="218">
        <v>4.8319327730000001</v>
      </c>
      <c r="AH644" s="180"/>
      <c r="AM644" s="218">
        <v>92</v>
      </c>
      <c r="BS644" s="218">
        <v>49.923034700000002</v>
      </c>
      <c r="BT644" s="180"/>
      <c r="BU644" s="218">
        <v>18.023717900000001</v>
      </c>
      <c r="BV644" s="180"/>
    </row>
    <row r="645" spans="1:74">
      <c r="A645" s="154" t="s">
        <v>7871</v>
      </c>
      <c r="B645" s="224" t="s">
        <v>257</v>
      </c>
      <c r="C645" s="224" t="s">
        <v>7989</v>
      </c>
      <c r="D645" s="224"/>
      <c r="E645" s="222">
        <v>15</v>
      </c>
      <c r="F645" s="225">
        <v>33</v>
      </c>
      <c r="G645" s="223"/>
      <c r="I645" s="253">
        <v>37</v>
      </c>
      <c r="S645" s="218">
        <v>1268.4788799999999</v>
      </c>
      <c r="T645" s="180"/>
      <c r="Y645" s="218">
        <v>469.83823640000003</v>
      </c>
      <c r="Z645" s="180"/>
      <c r="AA645" s="218">
        <v>52116.506990000002</v>
      </c>
      <c r="AB645" s="180"/>
      <c r="AC645" s="252">
        <v>25.38035928</v>
      </c>
      <c r="AD645" s="180"/>
      <c r="AG645" s="218">
        <v>4.8699271590000004</v>
      </c>
      <c r="AH645" s="180"/>
      <c r="AM645" s="218">
        <v>92</v>
      </c>
      <c r="BS645" s="218">
        <v>49.978759799999999</v>
      </c>
      <c r="BT645" s="180"/>
      <c r="BU645" s="218">
        <v>18.511882799999999</v>
      </c>
      <c r="BV645" s="180"/>
    </row>
    <row r="646" spans="1:74">
      <c r="A646" s="154" t="s">
        <v>7871</v>
      </c>
      <c r="B646" s="224" t="s">
        <v>259</v>
      </c>
      <c r="C646" s="224" t="s">
        <v>405</v>
      </c>
      <c r="D646" s="224"/>
      <c r="E646" s="222">
        <v>2</v>
      </c>
      <c r="F646" s="225">
        <v>64</v>
      </c>
      <c r="G646" s="223"/>
      <c r="I646" s="253">
        <v>39</v>
      </c>
      <c r="S646" s="218">
        <v>1513.992127</v>
      </c>
      <c r="T646" s="180"/>
      <c r="Y646" s="218">
        <v>618.07703949999996</v>
      </c>
      <c r="Z646" s="180"/>
      <c r="AA646" s="218">
        <v>67303.333329999994</v>
      </c>
      <c r="AB646" s="180"/>
      <c r="AC646" s="252">
        <v>31.24555556</v>
      </c>
      <c r="AD646" s="180"/>
      <c r="AG646" s="218">
        <v>4.6424974819999996</v>
      </c>
      <c r="AH646" s="180"/>
      <c r="AM646" s="218">
        <v>94</v>
      </c>
      <c r="BS646" s="218">
        <v>48.454639399999998</v>
      </c>
      <c r="BT646" s="180"/>
      <c r="BU646" s="218">
        <v>19.7812786</v>
      </c>
      <c r="BV646" s="180"/>
    </row>
    <row r="647" spans="1:74">
      <c r="A647" s="154" t="s">
        <v>7871</v>
      </c>
      <c r="B647" s="224" t="s">
        <v>259</v>
      </c>
      <c r="C647" s="224" t="s">
        <v>7987</v>
      </c>
      <c r="D647" s="224"/>
      <c r="E647" s="222">
        <v>6</v>
      </c>
      <c r="F647" s="225">
        <v>18</v>
      </c>
      <c r="G647" s="223"/>
      <c r="I647" s="253">
        <v>37</v>
      </c>
      <c r="S647" s="218">
        <v>1683.3813459999999</v>
      </c>
      <c r="T647" s="180"/>
      <c r="Y647" s="218">
        <v>671.61256519999995</v>
      </c>
      <c r="Z647" s="180"/>
      <c r="AA647" s="218">
        <v>73964.050229999993</v>
      </c>
      <c r="AB647" s="180"/>
      <c r="AC647" s="252">
        <v>34.501523429999999</v>
      </c>
      <c r="AD647" s="180"/>
      <c r="AG647" s="218">
        <v>4.664634146</v>
      </c>
      <c r="AH647" s="180"/>
      <c r="AM647" s="218">
        <v>94</v>
      </c>
      <c r="BS647" s="218">
        <v>48.791507699999997</v>
      </c>
      <c r="BT647" s="180"/>
      <c r="BU647" s="218">
        <v>19.466171299999999</v>
      </c>
      <c r="BV647" s="180"/>
    </row>
    <row r="648" spans="1:74">
      <c r="A648" s="154" t="s">
        <v>7871</v>
      </c>
      <c r="B648" s="224" t="s">
        <v>259</v>
      </c>
      <c r="C648" s="224" t="s">
        <v>7988</v>
      </c>
      <c r="D648" s="224"/>
      <c r="E648" s="222">
        <v>9</v>
      </c>
      <c r="F648" s="225">
        <v>39</v>
      </c>
      <c r="G648" s="223"/>
      <c r="I648" s="253">
        <v>46</v>
      </c>
      <c r="S648" s="218">
        <v>1615.2949229999999</v>
      </c>
      <c r="T648" s="180"/>
      <c r="Y648" s="218">
        <v>648.50431839999999</v>
      </c>
      <c r="Z648" s="180"/>
      <c r="AA648" s="218">
        <v>68717.562720000002</v>
      </c>
      <c r="AB648" s="180"/>
      <c r="AC648" s="252">
        <v>33.141907860000003</v>
      </c>
      <c r="AD648" s="180"/>
      <c r="AG648" s="218">
        <v>4.8229166670000003</v>
      </c>
      <c r="AH648" s="180"/>
      <c r="AM648" s="218">
        <v>94</v>
      </c>
      <c r="BS648" s="218">
        <v>48.738742799999997</v>
      </c>
      <c r="BT648" s="180"/>
      <c r="BU648" s="218">
        <v>19.567501100000001</v>
      </c>
      <c r="BV648" s="180"/>
    </row>
    <row r="649" spans="1:74">
      <c r="A649" s="154" t="s">
        <v>7871</v>
      </c>
      <c r="B649" s="224" t="s">
        <v>259</v>
      </c>
      <c r="C649" s="224" t="s">
        <v>7989</v>
      </c>
      <c r="D649" s="224"/>
      <c r="E649" s="223">
        <v>16</v>
      </c>
      <c r="F649" s="225">
        <v>28</v>
      </c>
      <c r="G649" s="223"/>
      <c r="I649" s="253">
        <v>35</v>
      </c>
      <c r="S649" s="218">
        <v>1609.50541</v>
      </c>
      <c r="T649" s="180"/>
      <c r="Y649" s="218">
        <v>668.79605579999998</v>
      </c>
      <c r="Z649" s="180"/>
      <c r="AA649" s="218">
        <v>69285.216230000005</v>
      </c>
      <c r="AB649" s="180"/>
      <c r="AC649" s="252">
        <v>33.487854509999998</v>
      </c>
      <c r="AD649" s="180"/>
      <c r="AG649" s="218">
        <v>4.8333333329999997</v>
      </c>
      <c r="AH649" s="180"/>
      <c r="AM649" s="218">
        <v>94</v>
      </c>
      <c r="BS649" s="218">
        <v>48.062362700000001</v>
      </c>
      <c r="BT649" s="180"/>
      <c r="BU649" s="218">
        <v>19.971302000000001</v>
      </c>
      <c r="BV649" s="180"/>
    </row>
    <row r="650" spans="1:74">
      <c r="A650" s="154" t="s">
        <v>7781</v>
      </c>
      <c r="B650" s="224" t="s">
        <v>257</v>
      </c>
      <c r="C650" s="224" t="s">
        <v>405</v>
      </c>
      <c r="D650" s="224"/>
      <c r="E650" s="222">
        <v>3</v>
      </c>
      <c r="F650" s="225">
        <v>7</v>
      </c>
      <c r="G650" s="223"/>
      <c r="I650" s="253">
        <v>39</v>
      </c>
      <c r="S650" s="218">
        <v>1652.546049</v>
      </c>
      <c r="T650" s="180"/>
      <c r="Y650" s="218">
        <v>595.60505320000004</v>
      </c>
      <c r="Z650" s="180"/>
      <c r="AA650" s="218">
        <v>67674.029389999996</v>
      </c>
      <c r="AB650" s="180"/>
      <c r="AC650" s="252">
        <v>31.949691170000001</v>
      </c>
      <c r="AD650" s="180"/>
      <c r="AG650" s="218">
        <v>4.7211155380000003</v>
      </c>
      <c r="AH650" s="180"/>
      <c r="AM650" s="218">
        <v>99</v>
      </c>
      <c r="BS650" s="218">
        <v>51.723381000000003</v>
      </c>
      <c r="BT650" s="180"/>
      <c r="BU650" s="218">
        <v>18.641965899999999</v>
      </c>
      <c r="BV650" s="180"/>
    </row>
    <row r="651" spans="1:74">
      <c r="A651" s="154" t="s">
        <v>7781</v>
      </c>
      <c r="B651" s="224" t="s">
        <v>257</v>
      </c>
      <c r="C651" s="224" t="s">
        <v>7987</v>
      </c>
      <c r="D651" s="224"/>
      <c r="E651" s="222">
        <v>6</v>
      </c>
      <c r="F651" s="225">
        <v>54</v>
      </c>
      <c r="G651" s="223"/>
      <c r="I651" s="253">
        <v>44</v>
      </c>
      <c r="S651" s="218">
        <v>1467.604738</v>
      </c>
      <c r="T651" s="180"/>
      <c r="Y651" s="218">
        <v>597.20288170000003</v>
      </c>
      <c r="Z651" s="180"/>
      <c r="AA651" s="218">
        <v>60243.038829999998</v>
      </c>
      <c r="AB651" s="180"/>
      <c r="AC651" s="252">
        <v>29.42834637</v>
      </c>
      <c r="AD651" s="180"/>
      <c r="AG651" s="218">
        <v>4.884937238</v>
      </c>
      <c r="AH651" s="180"/>
      <c r="AM651" s="218">
        <v>101</v>
      </c>
      <c r="BS651" s="218">
        <v>49.8704453</v>
      </c>
      <c r="BT651" s="180"/>
      <c r="BU651" s="218">
        <v>20.293457</v>
      </c>
      <c r="BV651" s="180"/>
    </row>
    <row r="652" spans="1:74">
      <c r="A652" s="154" t="s">
        <v>7781</v>
      </c>
      <c r="B652" s="224" t="s">
        <v>257</v>
      </c>
      <c r="C652" s="224" t="s">
        <v>7988</v>
      </c>
      <c r="D652" s="224"/>
      <c r="E652" s="222">
        <v>11</v>
      </c>
      <c r="F652" s="225">
        <v>3</v>
      </c>
      <c r="G652" s="223"/>
      <c r="I652" s="253">
        <v>33</v>
      </c>
      <c r="S652" s="218">
        <v>1235.67345</v>
      </c>
      <c r="T652" s="180"/>
      <c r="Y652" s="218">
        <v>473.32167650000002</v>
      </c>
      <c r="Z652" s="180"/>
      <c r="AA652" s="218">
        <v>49706.152889999998</v>
      </c>
      <c r="AB652" s="180"/>
      <c r="AC652" s="252">
        <v>24.385131489999999</v>
      </c>
      <c r="AD652" s="180"/>
      <c r="AG652" s="218">
        <v>4.9058577410000002</v>
      </c>
      <c r="AH652" s="180"/>
      <c r="AM652" s="218">
        <v>99</v>
      </c>
      <c r="BS652" s="218">
        <v>50.673233000000003</v>
      </c>
      <c r="BT652" s="180"/>
      <c r="BU652" s="218">
        <v>19.410257300000001</v>
      </c>
      <c r="BV652" s="180"/>
    </row>
    <row r="653" spans="1:74">
      <c r="A653" s="154" t="s">
        <v>7781</v>
      </c>
      <c r="B653" s="224" t="s">
        <v>257</v>
      </c>
      <c r="C653" s="224" t="s">
        <v>7989</v>
      </c>
      <c r="D653" s="224"/>
      <c r="E653" s="222">
        <v>14</v>
      </c>
      <c r="F653" s="225">
        <v>33</v>
      </c>
      <c r="G653" s="223"/>
      <c r="I653" s="253">
        <v>35</v>
      </c>
      <c r="S653" s="218">
        <v>1340.6864129999999</v>
      </c>
      <c r="T653" s="180"/>
      <c r="Y653" s="218">
        <v>512.57898350000005</v>
      </c>
      <c r="Z653" s="180"/>
      <c r="AA653" s="218">
        <v>59269.46499</v>
      </c>
      <c r="AB653" s="180"/>
      <c r="AC653" s="252">
        <v>26.348447140000001</v>
      </c>
      <c r="AD653" s="180"/>
      <c r="AG653" s="218">
        <v>4.4455348380000004</v>
      </c>
      <c r="AH653" s="180"/>
      <c r="AM653" s="218">
        <v>99</v>
      </c>
      <c r="BS653" s="218">
        <v>50.8829384</v>
      </c>
      <c r="BT653" s="180"/>
      <c r="BU653" s="218">
        <v>19.453859300000001</v>
      </c>
      <c r="BV653" s="180"/>
    </row>
    <row r="654" spans="1:74">
      <c r="A654" s="154" t="s">
        <v>7781</v>
      </c>
      <c r="B654" s="224" t="s">
        <v>259</v>
      </c>
      <c r="C654" s="224" t="s">
        <v>405</v>
      </c>
      <c r="D654" s="224"/>
      <c r="E654" s="223">
        <v>2</v>
      </c>
      <c r="F654" s="225">
        <v>47</v>
      </c>
      <c r="G654" s="223"/>
      <c r="I654" s="253">
        <v>41</v>
      </c>
      <c r="S654" s="218">
        <v>1541.963246</v>
      </c>
      <c r="T654" s="180"/>
      <c r="Y654" s="218">
        <v>575.7840688</v>
      </c>
      <c r="Z654" s="180"/>
      <c r="AA654" s="218">
        <v>63631.152390000003</v>
      </c>
      <c r="AB654" s="180"/>
      <c r="AC654" s="252">
        <v>30.254075520000001</v>
      </c>
      <c r="AD654" s="180"/>
      <c r="AG654" s="218">
        <v>4.7546012270000002</v>
      </c>
      <c r="AH654" s="180"/>
      <c r="AM654" s="218">
        <v>101</v>
      </c>
      <c r="BS654" s="218">
        <v>50.967124900000002</v>
      </c>
      <c r="BT654" s="180"/>
      <c r="BU654" s="218">
        <v>19.03162</v>
      </c>
      <c r="BV654" s="180"/>
    </row>
    <row r="655" spans="1:74">
      <c r="A655" s="154" t="s">
        <v>7781</v>
      </c>
      <c r="B655" s="224" t="s">
        <v>259</v>
      </c>
      <c r="C655" s="224" t="s">
        <v>7987</v>
      </c>
      <c r="D655" s="224"/>
      <c r="E655" s="223">
        <v>8</v>
      </c>
      <c r="F655" s="225">
        <v>26</v>
      </c>
      <c r="G655" s="223"/>
      <c r="I655" s="253">
        <v>34</v>
      </c>
      <c r="S655" s="218">
        <v>1677.1338459999999</v>
      </c>
      <c r="T655" s="180"/>
      <c r="Y655" s="218">
        <v>660.05256870000005</v>
      </c>
      <c r="Z655" s="180"/>
      <c r="AA655" s="218">
        <v>70412.267510000005</v>
      </c>
      <c r="AB655" s="180"/>
      <c r="AC655" s="252">
        <v>33.546828269999999</v>
      </c>
      <c r="AD655" s="180"/>
      <c r="AG655" s="218">
        <v>4.7643442619999998</v>
      </c>
      <c r="AH655" s="180"/>
      <c r="AM655" s="218">
        <v>101</v>
      </c>
      <c r="BS655" s="218">
        <v>49.993812599999998</v>
      </c>
      <c r="BT655" s="180"/>
      <c r="BU655" s="218">
        <v>19.6755581</v>
      </c>
      <c r="BV655" s="180"/>
    </row>
    <row r="656" spans="1:74">
      <c r="A656" s="154" t="s">
        <v>7781</v>
      </c>
      <c r="B656" s="224" t="s">
        <v>259</v>
      </c>
      <c r="C656" s="224" t="s">
        <v>7988</v>
      </c>
      <c r="D656" s="224"/>
      <c r="E656" s="222">
        <v>11</v>
      </c>
      <c r="F656" s="225">
        <v>41</v>
      </c>
      <c r="G656" s="223"/>
      <c r="I656" s="253">
        <v>44</v>
      </c>
      <c r="S656" s="218">
        <v>1827.1388460000001</v>
      </c>
      <c r="T656" s="180"/>
      <c r="Y656" s="218">
        <v>731.62388120000003</v>
      </c>
      <c r="Z656" s="180"/>
      <c r="AA656" s="218">
        <v>75791.640180000002</v>
      </c>
      <c r="AB656" s="180"/>
      <c r="AC656" s="252">
        <v>36.180371440000002</v>
      </c>
      <c r="AD656" s="180"/>
      <c r="AG656" s="218">
        <v>4.7736625510000001</v>
      </c>
      <c r="AH656" s="180"/>
      <c r="AM656" s="218">
        <v>101</v>
      </c>
      <c r="BS656" s="218">
        <v>50.500831599999998</v>
      </c>
      <c r="BT656" s="180"/>
      <c r="BU656" s="218">
        <v>20.2215691</v>
      </c>
      <c r="BV656" s="180"/>
    </row>
    <row r="657" spans="1:74">
      <c r="A657" s="154" t="s">
        <v>7781</v>
      </c>
      <c r="B657" s="224" t="s">
        <v>259</v>
      </c>
      <c r="C657" s="224" t="s">
        <v>7989</v>
      </c>
      <c r="D657" s="224"/>
      <c r="E657" s="222">
        <v>14</v>
      </c>
      <c r="F657" s="225">
        <v>15</v>
      </c>
      <c r="G657" s="223"/>
      <c r="I657" s="253">
        <v>33</v>
      </c>
      <c r="S657" s="218">
        <v>1588.451865</v>
      </c>
      <c r="T657" s="180"/>
      <c r="Y657" s="218">
        <v>628.451009</v>
      </c>
      <c r="Z657" s="180"/>
      <c r="AA657" s="218">
        <v>70000.400720000005</v>
      </c>
      <c r="AB657" s="180"/>
      <c r="AC657" s="252">
        <v>31.253795119999999</v>
      </c>
      <c r="AD657" s="180"/>
      <c r="AG657" s="218">
        <v>4.4648023139999999</v>
      </c>
      <c r="AH657" s="180"/>
      <c r="AM657" s="218">
        <v>99</v>
      </c>
      <c r="BS657" s="218">
        <v>50.824287400000003</v>
      </c>
      <c r="BT657" s="180"/>
      <c r="BU657" s="218">
        <v>20.107990300000001</v>
      </c>
      <c r="BV657" s="180"/>
    </row>
    <row r="658" spans="1:74">
      <c r="A658" s="154" t="s">
        <v>7782</v>
      </c>
      <c r="B658" s="224" t="s">
        <v>257</v>
      </c>
      <c r="C658" s="224" t="s">
        <v>405</v>
      </c>
      <c r="D658" s="224"/>
      <c r="E658" s="222">
        <v>1</v>
      </c>
      <c r="F658" s="225">
        <v>3</v>
      </c>
      <c r="G658" s="223"/>
      <c r="I658" s="253">
        <v>36</v>
      </c>
      <c r="S658" s="218">
        <v>1663.301211</v>
      </c>
      <c r="T658" s="180"/>
      <c r="Y658" s="218">
        <v>553.61468890000003</v>
      </c>
      <c r="Z658" s="180"/>
      <c r="AA658" s="218">
        <v>64405.411399999997</v>
      </c>
      <c r="AB658" s="180"/>
      <c r="AC658" s="252">
        <v>32.728321139999998</v>
      </c>
      <c r="AD658" s="180"/>
      <c r="AG658" s="218">
        <v>5.081610446</v>
      </c>
      <c r="AH658" s="180"/>
      <c r="AM658" s="218">
        <v>92</v>
      </c>
      <c r="BS658" s="218">
        <v>50.821464499999998</v>
      </c>
      <c r="BT658" s="180"/>
      <c r="BU658" s="218">
        <v>16.9154625</v>
      </c>
      <c r="BV658" s="180"/>
    </row>
    <row r="659" spans="1:74">
      <c r="A659" s="154" t="s">
        <v>7782</v>
      </c>
      <c r="B659" s="224" t="s">
        <v>257</v>
      </c>
      <c r="C659" s="224" t="s">
        <v>7987</v>
      </c>
      <c r="D659" s="224"/>
      <c r="E659" s="222">
        <v>8</v>
      </c>
      <c r="F659" s="225">
        <v>49</v>
      </c>
      <c r="G659" s="223"/>
      <c r="I659" s="253">
        <v>36</v>
      </c>
      <c r="S659" s="218">
        <v>1611.9443779999999</v>
      </c>
      <c r="T659" s="180"/>
      <c r="Y659" s="218">
        <v>553.04002179999998</v>
      </c>
      <c r="Z659" s="180"/>
      <c r="AA659" s="218">
        <v>61567.065069999997</v>
      </c>
      <c r="AB659" s="180"/>
      <c r="AC659" s="252">
        <v>31.661133240000002</v>
      </c>
      <c r="AD659" s="180"/>
      <c r="AG659" s="218">
        <v>5.14254386</v>
      </c>
      <c r="AH659" s="180"/>
      <c r="AM659" s="218">
        <v>92</v>
      </c>
      <c r="BS659" s="218">
        <v>50.912403099999999</v>
      </c>
      <c r="BT659" s="180"/>
      <c r="BU659" s="218">
        <v>17.467473999999999</v>
      </c>
      <c r="BV659" s="180"/>
    </row>
    <row r="660" spans="1:74">
      <c r="A660" s="154" t="s">
        <v>7782</v>
      </c>
      <c r="B660" s="224" t="s">
        <v>257</v>
      </c>
      <c r="C660" s="224" t="s">
        <v>7988</v>
      </c>
      <c r="D660" s="224"/>
      <c r="E660" s="222">
        <v>11</v>
      </c>
      <c r="F660" s="225">
        <v>26</v>
      </c>
      <c r="G660" s="223"/>
      <c r="I660" s="253">
        <v>39</v>
      </c>
      <c r="S660" s="218">
        <v>1849.083271</v>
      </c>
      <c r="T660" s="180"/>
      <c r="Y660" s="218">
        <v>619.63800890000005</v>
      </c>
      <c r="Z660" s="180"/>
      <c r="AA660" s="218">
        <v>70516.274210000003</v>
      </c>
      <c r="AB660" s="180"/>
      <c r="AC660" s="252">
        <v>36.038184389999998</v>
      </c>
      <c r="AD660" s="180"/>
      <c r="AG660" s="218">
        <v>5.1106194690000004</v>
      </c>
      <c r="AH660" s="180"/>
      <c r="AM660" s="218">
        <v>92</v>
      </c>
      <c r="BS660" s="218">
        <v>51.309001899999998</v>
      </c>
      <c r="BT660" s="180"/>
      <c r="BU660" s="218">
        <v>17.193929700000002</v>
      </c>
      <c r="BV660" s="180"/>
    </row>
    <row r="661" spans="1:74">
      <c r="A661" s="154" t="s">
        <v>7782</v>
      </c>
      <c r="B661" s="224" t="s">
        <v>257</v>
      </c>
      <c r="C661" s="224" t="s">
        <v>7989</v>
      </c>
      <c r="D661" s="224"/>
      <c r="E661" s="223">
        <v>16</v>
      </c>
      <c r="F661" s="225">
        <v>41</v>
      </c>
      <c r="G661" s="223"/>
      <c r="I661" s="253">
        <v>42</v>
      </c>
      <c r="S661" s="218">
        <v>1735.9644719999999</v>
      </c>
      <c r="T661" s="180"/>
      <c r="Y661" s="218">
        <v>588.36501520000002</v>
      </c>
      <c r="Z661" s="180"/>
      <c r="AA661" s="218">
        <v>66934.306159999993</v>
      </c>
      <c r="AB661" s="180"/>
      <c r="AC661" s="252">
        <v>34.19628496</v>
      </c>
      <c r="AD661" s="180"/>
      <c r="AG661" s="218">
        <v>5.1089324620000003</v>
      </c>
      <c r="AH661" s="180"/>
      <c r="AM661" s="218">
        <v>92</v>
      </c>
      <c r="BS661" s="218">
        <v>50.764709500000002</v>
      </c>
      <c r="BT661" s="180"/>
      <c r="BU661" s="218">
        <v>17.205524400000002</v>
      </c>
      <c r="BV661" s="180"/>
    </row>
    <row r="662" spans="1:74">
      <c r="A662" s="154" t="s">
        <v>7782</v>
      </c>
      <c r="B662" s="224" t="s">
        <v>259</v>
      </c>
      <c r="C662" s="224" t="s">
        <v>405</v>
      </c>
      <c r="D662" s="224"/>
      <c r="E662" s="222">
        <v>3</v>
      </c>
      <c r="F662" s="225">
        <v>51</v>
      </c>
      <c r="G662" s="223"/>
      <c r="I662" s="253">
        <v>37</v>
      </c>
      <c r="S662" s="218">
        <v>1940.857221</v>
      </c>
      <c r="T662" s="180"/>
      <c r="Y662" s="218">
        <v>748.87422300000003</v>
      </c>
      <c r="Z662" s="180"/>
      <c r="AA662" s="218">
        <v>74266.831709999999</v>
      </c>
      <c r="AB662" s="180"/>
      <c r="AC662" s="252">
        <v>39.228981079999997</v>
      </c>
      <c r="AD662" s="180"/>
      <c r="AG662" s="218">
        <v>5.2821670430000003</v>
      </c>
      <c r="AH662" s="180"/>
      <c r="AM662" s="218">
        <v>92</v>
      </c>
      <c r="BS662" s="218">
        <v>49.4750862</v>
      </c>
      <c r="BT662" s="180"/>
      <c r="BU662" s="218">
        <v>19.089820899999999</v>
      </c>
      <c r="BV662" s="180"/>
    </row>
    <row r="663" spans="1:74">
      <c r="A663" s="154" t="s">
        <v>7782</v>
      </c>
      <c r="B663" s="224" t="s">
        <v>259</v>
      </c>
      <c r="C663" s="224" t="s">
        <v>7987</v>
      </c>
      <c r="D663" s="224"/>
      <c r="E663" s="222">
        <v>8</v>
      </c>
      <c r="F663" s="225">
        <v>11</v>
      </c>
      <c r="G663" s="223"/>
      <c r="I663" s="253">
        <v>23</v>
      </c>
      <c r="S663" s="218">
        <v>1729.9754129999999</v>
      </c>
      <c r="T663" s="180"/>
      <c r="Y663" s="218">
        <v>669.49036590000003</v>
      </c>
      <c r="Z663" s="180"/>
      <c r="AA663" s="218">
        <v>66190.776360000003</v>
      </c>
      <c r="AB663" s="180"/>
      <c r="AC663" s="252">
        <v>34.864993689999999</v>
      </c>
      <c r="AD663" s="180"/>
      <c r="AG663" s="218">
        <v>5.2673492609999997</v>
      </c>
      <c r="AH663" s="180"/>
      <c r="AM663" s="218">
        <v>92</v>
      </c>
      <c r="BS663" s="218">
        <v>49.619266500000002</v>
      </c>
      <c r="BT663" s="180"/>
      <c r="BU663" s="218">
        <v>19.2023659</v>
      </c>
      <c r="BV663" s="180"/>
    </row>
    <row r="664" spans="1:74">
      <c r="A664" s="154" t="s">
        <v>7782</v>
      </c>
      <c r="B664" s="224" t="s">
        <v>259</v>
      </c>
      <c r="C664" s="224" t="s">
        <v>7988</v>
      </c>
      <c r="D664" s="224"/>
      <c r="E664" s="222">
        <v>10</v>
      </c>
      <c r="F664" s="225">
        <v>40</v>
      </c>
      <c r="G664" s="223"/>
      <c r="I664" s="253">
        <v>44</v>
      </c>
      <c r="S664" s="218">
        <v>1867.8840560000001</v>
      </c>
      <c r="T664" s="180"/>
      <c r="Y664" s="218">
        <v>691.67753459999994</v>
      </c>
      <c r="Z664" s="180"/>
      <c r="AA664" s="218">
        <v>70106.86636</v>
      </c>
      <c r="AB664" s="180"/>
      <c r="AC664" s="252">
        <v>37.557249830000003</v>
      </c>
      <c r="AD664" s="180"/>
      <c r="AG664" s="218">
        <v>5.3571428570000004</v>
      </c>
      <c r="AH664" s="180"/>
      <c r="AM664" s="218">
        <v>92</v>
      </c>
      <c r="BS664" s="218">
        <v>49.734313999999998</v>
      </c>
      <c r="BT664" s="180"/>
      <c r="BU664" s="218">
        <v>18.4166183</v>
      </c>
      <c r="BV664" s="180"/>
    </row>
    <row r="665" spans="1:74">
      <c r="A665" s="154" t="s">
        <v>7782</v>
      </c>
      <c r="B665" s="224" t="s">
        <v>259</v>
      </c>
      <c r="C665" s="224" t="s">
        <v>7989</v>
      </c>
      <c r="D665" s="224"/>
      <c r="E665" s="222">
        <v>16</v>
      </c>
      <c r="F665" s="225">
        <v>2</v>
      </c>
      <c r="G665" s="223"/>
      <c r="I665" s="253">
        <v>33</v>
      </c>
      <c r="S665" s="218">
        <v>1718.3931680000001</v>
      </c>
      <c r="T665" s="180"/>
      <c r="Y665" s="218">
        <v>731.49566110000001</v>
      </c>
      <c r="Z665" s="180"/>
      <c r="AA665" s="218">
        <v>69841.084440000006</v>
      </c>
      <c r="AB665" s="180"/>
      <c r="AC665" s="252">
        <v>36.127383700000003</v>
      </c>
      <c r="AD665" s="180"/>
      <c r="AG665" s="218">
        <v>5.1727982160000003</v>
      </c>
      <c r="AH665" s="180"/>
      <c r="AM665" s="218">
        <v>92</v>
      </c>
      <c r="BS665" s="218">
        <v>47.564838399999999</v>
      </c>
      <c r="BT665" s="180"/>
      <c r="BU665" s="218">
        <v>20.247678799999999</v>
      </c>
      <c r="BV665" s="180"/>
    </row>
    <row r="666" spans="1:74">
      <c r="A666" s="154" t="s">
        <v>7872</v>
      </c>
      <c r="B666" s="224" t="s">
        <v>257</v>
      </c>
      <c r="C666" s="224" t="s">
        <v>405</v>
      </c>
      <c r="D666" s="224"/>
      <c r="E666" s="223">
        <v>3</v>
      </c>
      <c r="F666" s="225">
        <v>19</v>
      </c>
      <c r="G666" s="223"/>
      <c r="I666" s="253">
        <v>35</v>
      </c>
      <c r="S666" s="218">
        <v>1696.4694420000001</v>
      </c>
      <c r="T666" s="180"/>
      <c r="Y666" s="218">
        <v>593.26865850000002</v>
      </c>
      <c r="Z666" s="180"/>
      <c r="AA666" s="218">
        <v>72662.455790000007</v>
      </c>
      <c r="AB666" s="180"/>
      <c r="AC666" s="252">
        <v>33.363936379999998</v>
      </c>
      <c r="AD666" s="180"/>
      <c r="AG666" s="218">
        <v>4.5916334660000002</v>
      </c>
      <c r="AH666" s="180"/>
      <c r="AM666" s="218">
        <v>89</v>
      </c>
      <c r="BS666" s="218">
        <v>50.847400700000001</v>
      </c>
      <c r="BT666" s="180"/>
      <c r="BU666" s="218">
        <v>17.781734499999999</v>
      </c>
      <c r="BV666" s="180"/>
    </row>
    <row r="667" spans="1:74">
      <c r="A667" s="154" t="s">
        <v>7872</v>
      </c>
      <c r="B667" s="224" t="s">
        <v>257</v>
      </c>
      <c r="C667" s="224" t="s">
        <v>7987</v>
      </c>
      <c r="D667" s="224"/>
      <c r="E667" s="223">
        <v>5</v>
      </c>
      <c r="F667" s="225">
        <v>64</v>
      </c>
      <c r="G667" s="223"/>
      <c r="I667" s="253">
        <v>37</v>
      </c>
      <c r="S667" s="218">
        <v>1481.7663210000001</v>
      </c>
      <c r="T667" s="180"/>
      <c r="Y667" s="218">
        <v>563.20154479999997</v>
      </c>
      <c r="Z667" s="180"/>
      <c r="AA667" s="218">
        <v>67890.327789999996</v>
      </c>
      <c r="AB667" s="180"/>
      <c r="AC667" s="252">
        <v>29.64587092</v>
      </c>
      <c r="AD667" s="180"/>
      <c r="AG667" s="218">
        <v>4.3667296789999996</v>
      </c>
      <c r="AH667" s="180"/>
      <c r="AM667" s="218">
        <v>89</v>
      </c>
      <c r="BS667" s="218">
        <v>49.9822159</v>
      </c>
      <c r="BT667" s="180"/>
      <c r="BU667" s="218">
        <v>18.9976387</v>
      </c>
      <c r="BV667" s="180"/>
    </row>
    <row r="668" spans="1:74">
      <c r="A668" s="154" t="s">
        <v>7872</v>
      </c>
      <c r="B668" s="224" t="s">
        <v>257</v>
      </c>
      <c r="C668" s="224" t="s">
        <v>7988</v>
      </c>
      <c r="D668" s="224"/>
      <c r="E668" s="222">
        <v>11</v>
      </c>
      <c r="F668" s="225">
        <v>8</v>
      </c>
      <c r="G668" s="223"/>
      <c r="I668" s="253">
        <v>36</v>
      </c>
      <c r="S668" s="218">
        <v>1131.1744679999999</v>
      </c>
      <c r="T668" s="180"/>
      <c r="Y668" s="218">
        <v>415.58657030000001</v>
      </c>
      <c r="Z668" s="180"/>
      <c r="AA668" s="218">
        <v>48608.087529999997</v>
      </c>
      <c r="AB668" s="180"/>
      <c r="AC668" s="252">
        <v>22.516271159999999</v>
      </c>
      <c r="AD668" s="180"/>
      <c r="AG668" s="218">
        <v>4.6322067589999998</v>
      </c>
      <c r="AH668" s="180"/>
      <c r="AM668" s="218">
        <v>89</v>
      </c>
      <c r="BS668" s="218">
        <v>50.238090499999998</v>
      </c>
      <c r="BT668" s="180"/>
      <c r="BU668" s="218">
        <v>18.457166699999998</v>
      </c>
      <c r="BV668" s="180"/>
    </row>
    <row r="669" spans="1:74">
      <c r="A669" s="154" t="s">
        <v>7872</v>
      </c>
      <c r="B669" s="224" t="s">
        <v>257</v>
      </c>
      <c r="C669" s="224" t="s">
        <v>7989</v>
      </c>
      <c r="D669" s="224"/>
      <c r="E669" s="222">
        <v>14</v>
      </c>
      <c r="F669" s="225">
        <v>55</v>
      </c>
      <c r="G669" s="223"/>
      <c r="I669" s="253">
        <v>41</v>
      </c>
      <c r="S669" s="218">
        <v>1463.810684</v>
      </c>
      <c r="T669" s="180"/>
      <c r="Y669" s="218">
        <v>535.84232239999994</v>
      </c>
      <c r="Z669" s="180"/>
      <c r="AA669" s="218">
        <v>66359.259260000006</v>
      </c>
      <c r="AB669" s="180"/>
      <c r="AC669" s="252">
        <v>29.125727510000001</v>
      </c>
      <c r="AD669" s="180"/>
      <c r="AG669" s="218">
        <v>4.3890977439999999</v>
      </c>
      <c r="AH669" s="180"/>
      <c r="AM669" s="218">
        <v>92</v>
      </c>
      <c r="BS669" s="218">
        <v>50.258338899999998</v>
      </c>
      <c r="BT669" s="180"/>
      <c r="BU669" s="218">
        <v>18.3975601</v>
      </c>
      <c r="BV669" s="180"/>
    </row>
    <row r="670" spans="1:74">
      <c r="A670" s="154" t="s">
        <v>7872</v>
      </c>
      <c r="B670" s="224" t="s">
        <v>259</v>
      </c>
      <c r="C670" s="224" t="s">
        <v>405</v>
      </c>
      <c r="D670" s="224"/>
      <c r="E670" s="222">
        <v>2</v>
      </c>
      <c r="F670" s="225">
        <v>42</v>
      </c>
      <c r="G670" s="223"/>
      <c r="I670" s="253">
        <v>42</v>
      </c>
      <c r="S670" s="218">
        <v>1551.0348879999999</v>
      </c>
      <c r="T670" s="180"/>
      <c r="Y670" s="218">
        <v>593.6470789</v>
      </c>
      <c r="Z670" s="180"/>
      <c r="AA670" s="218">
        <v>76692.262010000006</v>
      </c>
      <c r="AB670" s="180"/>
      <c r="AC670" s="252">
        <v>31.232449460000002</v>
      </c>
      <c r="AD670" s="180"/>
      <c r="AG670" s="218">
        <v>4.0724381630000002</v>
      </c>
      <c r="AH670" s="180"/>
      <c r="AM670" s="218">
        <v>89</v>
      </c>
      <c r="BS670" s="218">
        <v>49.661006899999997</v>
      </c>
      <c r="BT670" s="180"/>
      <c r="BU670" s="218">
        <v>19.0073814</v>
      </c>
      <c r="BV670" s="180"/>
    </row>
    <row r="671" spans="1:74">
      <c r="A671" s="154" t="s">
        <v>7872</v>
      </c>
      <c r="B671" s="224" t="s">
        <v>259</v>
      </c>
      <c r="C671" s="224" t="s">
        <v>7987</v>
      </c>
      <c r="D671" s="224"/>
      <c r="E671" s="222">
        <v>8</v>
      </c>
      <c r="F671" s="225">
        <v>31</v>
      </c>
      <c r="G671" s="223"/>
      <c r="I671" s="253">
        <v>37</v>
      </c>
      <c r="S671" s="218">
        <v>1711.6271859999999</v>
      </c>
      <c r="T671" s="180"/>
      <c r="Y671" s="218">
        <v>660.02304049999998</v>
      </c>
      <c r="Z671" s="180"/>
      <c r="AA671" s="218">
        <v>75299.228610000006</v>
      </c>
      <c r="AB671" s="180"/>
      <c r="AC671" s="252">
        <v>34.45014115</v>
      </c>
      <c r="AD671" s="180"/>
      <c r="AG671" s="218">
        <v>4.5750988140000004</v>
      </c>
      <c r="AH671" s="180"/>
      <c r="AM671" s="218">
        <v>92</v>
      </c>
      <c r="BS671" s="218">
        <v>49.684184999999999</v>
      </c>
      <c r="BT671" s="180"/>
      <c r="BU671" s="218">
        <v>19.1587906</v>
      </c>
      <c r="BV671" s="180"/>
    </row>
    <row r="672" spans="1:74">
      <c r="A672" s="154" t="s">
        <v>7872</v>
      </c>
      <c r="B672" s="224" t="s">
        <v>259</v>
      </c>
      <c r="C672" s="224" t="s">
        <v>7988</v>
      </c>
      <c r="D672" s="224"/>
      <c r="E672" s="222">
        <v>11</v>
      </c>
      <c r="F672" s="225">
        <v>37</v>
      </c>
      <c r="G672" s="223"/>
      <c r="I672" s="253">
        <v>40</v>
      </c>
      <c r="S672" s="218">
        <v>1666.926211</v>
      </c>
      <c r="T672" s="180"/>
      <c r="Y672" s="218">
        <v>642.04068740000002</v>
      </c>
      <c r="Z672" s="180"/>
      <c r="AA672" s="218">
        <v>75627.832569999999</v>
      </c>
      <c r="AB672" s="180"/>
      <c r="AC672" s="252">
        <v>33.772734389999997</v>
      </c>
      <c r="AD672" s="180"/>
      <c r="AG672" s="218">
        <v>4.4656488550000004</v>
      </c>
      <c r="AH672" s="180"/>
      <c r="AM672" s="218">
        <v>92</v>
      </c>
      <c r="BS672" s="218">
        <v>49.357158699999999</v>
      </c>
      <c r="BT672" s="180"/>
      <c r="BU672" s="218">
        <v>19.010622000000001</v>
      </c>
      <c r="BV672" s="180"/>
    </row>
    <row r="673" spans="1:74">
      <c r="A673" s="154" t="s">
        <v>7872</v>
      </c>
      <c r="B673" s="224" t="s">
        <v>259</v>
      </c>
      <c r="C673" s="224" t="s">
        <v>7989</v>
      </c>
      <c r="D673" s="224"/>
      <c r="E673" s="223">
        <v>15</v>
      </c>
      <c r="F673" s="225">
        <v>26</v>
      </c>
      <c r="G673" s="223"/>
      <c r="I673" s="253">
        <v>35</v>
      </c>
      <c r="S673" s="218">
        <v>1808.1863599999999</v>
      </c>
      <c r="T673" s="180"/>
      <c r="Y673" s="218">
        <v>722.36708629999998</v>
      </c>
      <c r="Z673" s="180"/>
      <c r="AA673" s="218">
        <v>83886.078810000006</v>
      </c>
      <c r="AB673" s="180"/>
      <c r="AC673" s="252">
        <v>36.695227320000001</v>
      </c>
      <c r="AD673" s="180"/>
      <c r="AG673" s="218">
        <v>4.3744120410000003</v>
      </c>
      <c r="AH673" s="180"/>
      <c r="AM673" s="218">
        <v>89</v>
      </c>
      <c r="BS673" s="218">
        <v>49.2757912</v>
      </c>
      <c r="BT673" s="180"/>
      <c r="BU673" s="218">
        <v>19.685586900000001</v>
      </c>
      <c r="BV673" s="180"/>
    </row>
    <row r="674" spans="1:74">
      <c r="A674" s="154" t="s">
        <v>7850</v>
      </c>
      <c r="B674" s="224" t="s">
        <v>257</v>
      </c>
      <c r="C674" s="224" t="s">
        <v>405</v>
      </c>
      <c r="D674" s="224"/>
      <c r="E674" s="222">
        <v>1</v>
      </c>
      <c r="F674" s="225">
        <v>9</v>
      </c>
      <c r="G674" s="223"/>
      <c r="I674" s="253">
        <v>25</v>
      </c>
      <c r="S674" s="218">
        <v>1348.4015360000001</v>
      </c>
      <c r="T674" s="180"/>
      <c r="Y674" s="218">
        <v>601.53412209999999</v>
      </c>
      <c r="Z674" s="180"/>
      <c r="AA674" s="218">
        <v>58292.658369999997</v>
      </c>
      <c r="AB674" s="180"/>
      <c r="AC674" s="252">
        <v>29.916716739999998</v>
      </c>
      <c r="AD674" s="180"/>
      <c r="AG674" s="218">
        <v>5.1321585900000004</v>
      </c>
      <c r="AH674" s="180"/>
      <c r="AM674" s="218">
        <v>73</v>
      </c>
      <c r="BS674" s="218">
        <v>45.071842199999999</v>
      </c>
      <c r="BT674" s="180"/>
      <c r="BU674" s="218">
        <v>20.106956499999999</v>
      </c>
      <c r="BV674" s="180"/>
    </row>
    <row r="675" spans="1:74">
      <c r="A675" s="154" t="s">
        <v>7850</v>
      </c>
      <c r="B675" s="224" t="s">
        <v>257</v>
      </c>
      <c r="C675" s="224" t="s">
        <v>7987</v>
      </c>
      <c r="D675" s="224"/>
      <c r="E675" s="222">
        <v>8</v>
      </c>
      <c r="F675" s="225">
        <v>42</v>
      </c>
      <c r="G675" s="223"/>
      <c r="I675" s="253">
        <v>35</v>
      </c>
      <c r="S675" s="218">
        <v>1192.9907519999999</v>
      </c>
      <c r="T675" s="180"/>
      <c r="Y675" s="218">
        <v>554.34064149999995</v>
      </c>
      <c r="Z675" s="180"/>
      <c r="AA675" s="218">
        <v>52967.340239999998</v>
      </c>
      <c r="AB675" s="180"/>
      <c r="AC675" s="252">
        <v>26.972510939999999</v>
      </c>
      <c r="AD675" s="180"/>
      <c r="AG675" s="218">
        <v>5.0922909880000002</v>
      </c>
      <c r="AH675" s="180"/>
      <c r="AM675" s="218">
        <v>73</v>
      </c>
      <c r="BS675" s="218">
        <v>44.229873699999999</v>
      </c>
      <c r="BT675" s="180"/>
      <c r="BU675" s="218">
        <v>20.552059199999999</v>
      </c>
      <c r="BV675" s="180"/>
    </row>
    <row r="676" spans="1:74">
      <c r="A676" s="154" t="s">
        <v>7850</v>
      </c>
      <c r="B676" s="224" t="s">
        <v>257</v>
      </c>
      <c r="C676" s="224" t="s">
        <v>7988</v>
      </c>
      <c r="D676" s="224"/>
      <c r="E676" s="222">
        <v>12</v>
      </c>
      <c r="F676" s="225">
        <v>12</v>
      </c>
      <c r="G676" s="223"/>
      <c r="I676" s="253">
        <v>29</v>
      </c>
      <c r="S676" s="218">
        <v>1080.3717830000001</v>
      </c>
      <c r="T676" s="180"/>
      <c r="Y676" s="218">
        <v>495.05403419999999</v>
      </c>
      <c r="Z676" s="180"/>
      <c r="AA676" s="218">
        <v>47590.30891</v>
      </c>
      <c r="AB676" s="180"/>
      <c r="AC676" s="252">
        <v>24.4568662</v>
      </c>
      <c r="AD676" s="180"/>
      <c r="AG676" s="218">
        <v>5.1390433819999997</v>
      </c>
      <c r="AH676" s="180"/>
      <c r="AM676" s="218">
        <v>67</v>
      </c>
      <c r="BS676" s="218">
        <v>44.174579600000001</v>
      </c>
      <c r="BT676" s="180"/>
      <c r="BU676" s="218">
        <v>20.241924300000001</v>
      </c>
      <c r="BV676" s="180"/>
    </row>
    <row r="677" spans="1:74">
      <c r="A677" s="154" t="s">
        <v>7850</v>
      </c>
      <c r="B677" s="224" t="s">
        <v>257</v>
      </c>
      <c r="C677" s="224" t="s">
        <v>7989</v>
      </c>
      <c r="D677" s="224"/>
      <c r="E677" s="222">
        <v>15</v>
      </c>
      <c r="F677" s="225">
        <v>39</v>
      </c>
      <c r="G677" s="223"/>
      <c r="I677" s="253">
        <v>28</v>
      </c>
      <c r="S677" s="218">
        <v>1359.1157089999999</v>
      </c>
      <c r="T677" s="180"/>
      <c r="Y677" s="218">
        <v>569.06685800000002</v>
      </c>
      <c r="Z677" s="180"/>
      <c r="AA677" s="218">
        <v>65905.79032</v>
      </c>
      <c r="AB677" s="180"/>
      <c r="AC677" s="252">
        <v>29.162991040000001</v>
      </c>
      <c r="AD677" s="180"/>
      <c r="AG677" s="218">
        <v>4.424951267</v>
      </c>
      <c r="AH677" s="180"/>
      <c r="AM677" s="218">
        <v>67</v>
      </c>
      <c r="BS677" s="218">
        <v>46.604126000000001</v>
      </c>
      <c r="BT677" s="180"/>
      <c r="BU677" s="218">
        <v>19.513322800000001</v>
      </c>
      <c r="BV677" s="180"/>
    </row>
    <row r="678" spans="1:74">
      <c r="A678" s="154" t="s">
        <v>7850</v>
      </c>
      <c r="B678" s="224" t="s">
        <v>259</v>
      </c>
      <c r="C678" s="224" t="s">
        <v>405</v>
      </c>
      <c r="D678" s="224"/>
      <c r="E678" s="223">
        <v>3</v>
      </c>
      <c r="F678" s="225">
        <v>54</v>
      </c>
      <c r="G678" s="223"/>
      <c r="I678" s="253">
        <v>33</v>
      </c>
      <c r="S678" s="218">
        <v>1237.4565600000001</v>
      </c>
      <c r="T678" s="180"/>
      <c r="Y678" s="218">
        <v>582.41320619999999</v>
      </c>
      <c r="Z678" s="180"/>
      <c r="AA678" s="218">
        <v>56135.489450000001</v>
      </c>
      <c r="AB678" s="180"/>
      <c r="AC678" s="252">
        <v>27.917649829999998</v>
      </c>
      <c r="AD678" s="180"/>
      <c r="AG678" s="218">
        <v>4.9732620320000001</v>
      </c>
      <c r="AH678" s="180"/>
      <c r="AM678" s="218">
        <v>73</v>
      </c>
      <c r="BS678" s="218">
        <v>44.3252411</v>
      </c>
      <c r="BT678" s="180"/>
      <c r="BU678" s="218">
        <v>20.861827900000002</v>
      </c>
      <c r="BV678" s="180"/>
    </row>
    <row r="679" spans="1:74">
      <c r="A679" s="154" t="s">
        <v>7850</v>
      </c>
      <c r="B679" s="224" t="s">
        <v>259</v>
      </c>
      <c r="C679" s="224" t="s">
        <v>7987</v>
      </c>
      <c r="D679" s="224"/>
      <c r="E679" s="223">
        <v>7</v>
      </c>
      <c r="F679" s="225">
        <v>14</v>
      </c>
      <c r="G679" s="223"/>
      <c r="I679" s="253">
        <v>36</v>
      </c>
      <c r="S679" s="218">
        <v>1486.7568369999999</v>
      </c>
      <c r="T679" s="180"/>
      <c r="Y679" s="218">
        <v>717.94629010000006</v>
      </c>
      <c r="Z679" s="180"/>
      <c r="AA679" s="218">
        <v>66452.962960000004</v>
      </c>
      <c r="AB679" s="180"/>
      <c r="AC679" s="252">
        <v>34.021027779999997</v>
      </c>
      <c r="AD679" s="180"/>
      <c r="AG679" s="218">
        <v>5.1195652169999999</v>
      </c>
      <c r="AH679" s="180"/>
      <c r="AM679" s="218">
        <v>73</v>
      </c>
      <c r="BS679" s="218">
        <v>43.701114699999998</v>
      </c>
      <c r="BT679" s="180"/>
      <c r="BU679" s="218">
        <v>21.103015899999999</v>
      </c>
      <c r="BV679" s="180"/>
    </row>
    <row r="680" spans="1:74">
      <c r="A680" s="154" t="s">
        <v>7850</v>
      </c>
      <c r="B680" s="224" t="s">
        <v>259</v>
      </c>
      <c r="C680" s="224" t="s">
        <v>7988</v>
      </c>
      <c r="D680" s="224"/>
      <c r="E680" s="222">
        <v>10</v>
      </c>
      <c r="F680" s="225">
        <v>60</v>
      </c>
      <c r="G680" s="223"/>
      <c r="I680" s="253">
        <v>37</v>
      </c>
      <c r="S680" s="218">
        <v>1443.0251249999999</v>
      </c>
      <c r="T680" s="180"/>
      <c r="Y680" s="218">
        <v>638.80806719999998</v>
      </c>
      <c r="Z680" s="180"/>
      <c r="AA680" s="218">
        <v>63413.450559999997</v>
      </c>
      <c r="AB680" s="180"/>
      <c r="AC680" s="252">
        <v>32.15329887</v>
      </c>
      <c r="AD680" s="180"/>
      <c r="AG680" s="218">
        <v>5.0704225349999996</v>
      </c>
      <c r="AH680" s="180"/>
      <c r="AM680" s="218">
        <v>67</v>
      </c>
      <c r="BS680" s="218">
        <v>44.879535699999998</v>
      </c>
      <c r="BT680" s="180"/>
      <c r="BU680" s="218">
        <v>19.867574699999999</v>
      </c>
      <c r="BV680" s="180"/>
    </row>
    <row r="681" spans="1:74">
      <c r="A681" s="154" t="s">
        <v>7850</v>
      </c>
      <c r="B681" s="224" t="s">
        <v>259</v>
      </c>
      <c r="C681" s="224" t="s">
        <v>7989</v>
      </c>
      <c r="D681" s="224"/>
      <c r="E681" s="222">
        <v>15</v>
      </c>
      <c r="F681" s="225">
        <v>21</v>
      </c>
      <c r="G681" s="223"/>
      <c r="I681" s="253">
        <v>28</v>
      </c>
      <c r="S681" s="218">
        <v>1093.8393000000001</v>
      </c>
      <c r="T681" s="180"/>
      <c r="Y681" s="218">
        <v>531.06306919999997</v>
      </c>
      <c r="Z681" s="180"/>
      <c r="AA681" s="218">
        <v>52253.283649999998</v>
      </c>
      <c r="AB681" s="180"/>
      <c r="AC681" s="252">
        <v>24.7122271</v>
      </c>
      <c r="AD681" s="180"/>
      <c r="AG681" s="218">
        <v>4.7293156280000002</v>
      </c>
      <c r="AH681" s="180"/>
      <c r="AM681" s="218">
        <v>74</v>
      </c>
      <c r="BS681" s="218">
        <v>44.263080600000002</v>
      </c>
      <c r="BT681" s="180"/>
      <c r="BU681" s="218">
        <v>21.489891100000001</v>
      </c>
      <c r="BV681" s="180"/>
    </row>
    <row r="682" spans="1:74">
      <c r="A682" s="154" t="s">
        <v>7783</v>
      </c>
      <c r="B682" s="224" t="s">
        <v>257</v>
      </c>
      <c r="C682" s="224" t="s">
        <v>405</v>
      </c>
      <c r="D682" s="224"/>
      <c r="E682" s="222">
        <v>2</v>
      </c>
      <c r="F682" s="225">
        <v>7</v>
      </c>
      <c r="G682" s="223"/>
      <c r="I682" s="253">
        <v>42</v>
      </c>
      <c r="S682" s="218">
        <v>1725.1175350000001</v>
      </c>
      <c r="T682" s="180"/>
      <c r="Y682" s="218">
        <v>577.31891619999999</v>
      </c>
      <c r="Z682" s="180"/>
      <c r="AA682" s="218">
        <v>67903.435110000006</v>
      </c>
      <c r="AB682" s="180"/>
      <c r="AC682" s="252">
        <v>33.368855449999998</v>
      </c>
      <c r="AD682" s="180"/>
      <c r="AG682" s="218">
        <v>4.9141630899999997</v>
      </c>
      <c r="AH682" s="180"/>
      <c r="AM682" s="218">
        <v>89</v>
      </c>
      <c r="BS682" s="218">
        <v>51.6984329</v>
      </c>
      <c r="BT682" s="180"/>
      <c r="BU682" s="218">
        <v>17.301130300000001</v>
      </c>
      <c r="BV682" s="180"/>
    </row>
    <row r="683" spans="1:74">
      <c r="A683" s="154" t="s">
        <v>7783</v>
      </c>
      <c r="B683" s="224" t="s">
        <v>257</v>
      </c>
      <c r="C683" s="224" t="s">
        <v>7987</v>
      </c>
      <c r="D683" s="224"/>
      <c r="E683" s="222">
        <v>5</v>
      </c>
      <c r="F683" s="225">
        <v>34</v>
      </c>
      <c r="G683" s="223"/>
      <c r="I683" s="253">
        <v>36</v>
      </c>
      <c r="S683" s="218">
        <v>1829.0857229999999</v>
      </c>
      <c r="T683" s="180"/>
      <c r="Y683" s="218">
        <v>647.01924640000004</v>
      </c>
      <c r="Z683" s="180"/>
      <c r="AA683" s="218">
        <v>74484.52953</v>
      </c>
      <c r="AB683" s="180"/>
      <c r="AC683" s="252">
        <v>35.917749069999999</v>
      </c>
      <c r="AD683" s="180"/>
      <c r="AG683" s="218">
        <v>4.8221757319999998</v>
      </c>
      <c r="AH683" s="180"/>
      <c r="AM683" s="218">
        <v>89</v>
      </c>
      <c r="BS683" s="218">
        <v>50.924285900000001</v>
      </c>
      <c r="BT683" s="180"/>
      <c r="BU683" s="218">
        <v>18.013914100000001</v>
      </c>
      <c r="BV683" s="180"/>
    </row>
    <row r="684" spans="1:74">
      <c r="A684" s="154" t="s">
        <v>7783</v>
      </c>
      <c r="B684" s="224" t="s">
        <v>257</v>
      </c>
      <c r="C684" s="224" t="s">
        <v>7988</v>
      </c>
      <c r="D684" s="224"/>
      <c r="E684" s="223">
        <v>11</v>
      </c>
      <c r="F684" s="225">
        <v>15</v>
      </c>
      <c r="G684" s="223"/>
      <c r="I684" s="253">
        <v>32</v>
      </c>
      <c r="S684" s="218">
        <v>1399.9778060000001</v>
      </c>
      <c r="T684" s="180"/>
      <c r="Y684" s="218">
        <v>479.42071390000001</v>
      </c>
      <c r="Z684" s="180"/>
      <c r="AA684" s="218">
        <v>53236.968979999998</v>
      </c>
      <c r="AB684" s="180"/>
      <c r="AC684" s="252">
        <v>27.263425739999999</v>
      </c>
      <c r="AD684" s="180"/>
      <c r="AG684" s="218">
        <v>5.1211453740000001</v>
      </c>
      <c r="AH684" s="180"/>
      <c r="AM684" s="218">
        <v>87</v>
      </c>
      <c r="BS684" s="218">
        <v>51.350032800000001</v>
      </c>
      <c r="BT684" s="180"/>
      <c r="BU684" s="218">
        <v>17.584756899999999</v>
      </c>
      <c r="BV684" s="180"/>
    </row>
    <row r="685" spans="1:74">
      <c r="A685" s="154" t="s">
        <v>7783</v>
      </c>
      <c r="B685" s="224" t="s">
        <v>257</v>
      </c>
      <c r="C685" s="224" t="s">
        <v>7989</v>
      </c>
      <c r="D685" s="224"/>
      <c r="E685" s="223">
        <v>14</v>
      </c>
      <c r="F685" s="225">
        <v>56</v>
      </c>
      <c r="G685" s="223"/>
      <c r="I685" s="253">
        <v>37</v>
      </c>
      <c r="S685" s="218">
        <v>1681.2534760000001</v>
      </c>
      <c r="T685" s="180"/>
      <c r="Y685" s="218">
        <v>591.59842979999996</v>
      </c>
      <c r="Z685" s="180"/>
      <c r="AA685" s="218">
        <v>68500.047810000004</v>
      </c>
      <c r="AB685" s="180"/>
      <c r="AC685" s="252">
        <v>33.115447539999998</v>
      </c>
      <c r="AD685" s="180"/>
      <c r="AG685" s="218">
        <v>4.8343685299999999</v>
      </c>
      <c r="AH685" s="180"/>
      <c r="AM685" s="218">
        <v>89</v>
      </c>
      <c r="BS685" s="218">
        <v>50.769462599999997</v>
      </c>
      <c r="BT685" s="180"/>
      <c r="BU685" s="218">
        <v>17.864726999999998</v>
      </c>
      <c r="BV685" s="180"/>
    </row>
    <row r="686" spans="1:74">
      <c r="A686" s="154" t="s">
        <v>7783</v>
      </c>
      <c r="B686" s="224" t="s">
        <v>259</v>
      </c>
      <c r="C686" s="224" t="s">
        <v>405</v>
      </c>
      <c r="D686" s="224"/>
      <c r="E686" s="222">
        <v>4</v>
      </c>
      <c r="F686" s="225">
        <v>46</v>
      </c>
      <c r="G686" s="223"/>
      <c r="I686" s="253">
        <v>40</v>
      </c>
      <c r="S686" s="218">
        <v>2174.546061</v>
      </c>
      <c r="T686" s="180"/>
      <c r="Y686" s="218">
        <v>813.67847240000003</v>
      </c>
      <c r="Z686" s="180"/>
      <c r="AA686" s="218">
        <v>82310.0193</v>
      </c>
      <c r="AB686" s="180"/>
      <c r="AC686" s="252">
        <v>42.652380450000003</v>
      </c>
      <c r="AD686" s="180"/>
      <c r="AG686" s="218">
        <v>5.1819184119999999</v>
      </c>
      <c r="AH686" s="180"/>
      <c r="AM686" s="218">
        <v>89</v>
      </c>
      <c r="BS686" s="218">
        <v>50.982994099999999</v>
      </c>
      <c r="BT686" s="180"/>
      <c r="BU686" s="218">
        <v>19.076976800000001</v>
      </c>
      <c r="BV686" s="180"/>
    </row>
    <row r="687" spans="1:74">
      <c r="A687" s="154" t="s">
        <v>7783</v>
      </c>
      <c r="B687" s="224" t="s">
        <v>259</v>
      </c>
      <c r="C687" s="224" t="s">
        <v>7987</v>
      </c>
      <c r="D687" s="224"/>
      <c r="E687" s="222">
        <v>7</v>
      </c>
      <c r="F687" s="225">
        <v>17</v>
      </c>
      <c r="G687" s="223"/>
      <c r="I687" s="253">
        <v>38</v>
      </c>
      <c r="S687" s="218">
        <v>1842.0628610000001</v>
      </c>
      <c r="T687" s="180"/>
      <c r="Y687" s="218">
        <v>698.10677280000004</v>
      </c>
      <c r="Z687" s="180"/>
      <c r="AA687" s="218">
        <v>75181.71875</v>
      </c>
      <c r="AB687" s="180"/>
      <c r="AC687" s="252">
        <v>36.500684079999999</v>
      </c>
      <c r="AD687" s="180"/>
      <c r="AG687" s="218">
        <v>4.8549946290000001</v>
      </c>
      <c r="AH687" s="180"/>
      <c r="AM687" s="218">
        <v>89</v>
      </c>
      <c r="BS687" s="218">
        <v>50.466529800000004</v>
      </c>
      <c r="BT687" s="180"/>
      <c r="BU687" s="218">
        <v>19.125854499999999</v>
      </c>
      <c r="BV687" s="180"/>
    </row>
    <row r="688" spans="1:74">
      <c r="A688" s="154" t="s">
        <v>7783</v>
      </c>
      <c r="B688" s="224" t="s">
        <v>259</v>
      </c>
      <c r="C688" s="224" t="s">
        <v>7988</v>
      </c>
      <c r="D688" s="224"/>
      <c r="E688" s="222">
        <v>12</v>
      </c>
      <c r="F688" s="225">
        <v>44</v>
      </c>
      <c r="G688" s="223"/>
      <c r="I688" s="253">
        <v>41</v>
      </c>
      <c r="S688" s="218">
        <v>2210.8246669999999</v>
      </c>
      <c r="T688" s="180"/>
      <c r="Y688" s="218">
        <v>810.98415339999997</v>
      </c>
      <c r="Z688" s="180"/>
      <c r="AA688" s="218">
        <v>83625.579079999996</v>
      </c>
      <c r="AB688" s="180"/>
      <c r="AC688" s="252">
        <v>43.808399950000002</v>
      </c>
      <c r="AD688" s="180"/>
      <c r="AG688" s="218">
        <v>5.2386363640000004</v>
      </c>
      <c r="AH688" s="180"/>
      <c r="AM688" s="218">
        <v>89</v>
      </c>
      <c r="BS688" s="218">
        <v>50.4657707</v>
      </c>
      <c r="BT688" s="180"/>
      <c r="BU688" s="218">
        <v>18.512069700000001</v>
      </c>
      <c r="BV688" s="180"/>
    </row>
    <row r="689" spans="1:74">
      <c r="A689" s="154" t="s">
        <v>7783</v>
      </c>
      <c r="B689" s="224" t="s">
        <v>259</v>
      </c>
      <c r="C689" s="224" t="s">
        <v>7989</v>
      </c>
      <c r="D689" s="224"/>
      <c r="E689" s="222">
        <v>16</v>
      </c>
      <c r="F689" s="225">
        <v>13</v>
      </c>
      <c r="G689" s="223"/>
      <c r="I689" s="253">
        <v>38</v>
      </c>
      <c r="S689" s="218">
        <v>1700.829872</v>
      </c>
      <c r="T689" s="180"/>
      <c r="Y689" s="218">
        <v>629.23309449999999</v>
      </c>
      <c r="Z689" s="180"/>
      <c r="AA689" s="218">
        <v>66540.702000000005</v>
      </c>
      <c r="AB689" s="180"/>
      <c r="AC689" s="252">
        <v>33.414067420000002</v>
      </c>
      <c r="AD689" s="180"/>
      <c r="AG689" s="218">
        <v>5.0215982720000003</v>
      </c>
      <c r="AH689" s="180"/>
      <c r="AM689" s="218">
        <v>89</v>
      </c>
      <c r="BS689" s="218">
        <v>50.901611299999999</v>
      </c>
      <c r="BT689" s="180"/>
      <c r="BU689" s="218">
        <v>18.8313828</v>
      </c>
      <c r="BV689" s="180"/>
    </row>
    <row r="690" spans="1:74">
      <c r="A690" s="154" t="s">
        <v>7873</v>
      </c>
      <c r="B690" s="224" t="s">
        <v>257</v>
      </c>
      <c r="C690" s="224" t="s">
        <v>405</v>
      </c>
      <c r="D690" s="224"/>
      <c r="E690" s="222">
        <v>3</v>
      </c>
      <c r="F690" s="225">
        <v>32</v>
      </c>
      <c r="G690" s="223"/>
      <c r="I690" s="253">
        <v>30</v>
      </c>
      <c r="S690" s="218">
        <v>1942.5499070000001</v>
      </c>
      <c r="T690" s="180"/>
      <c r="Y690" s="218">
        <v>633.77781300000004</v>
      </c>
      <c r="Z690" s="180"/>
      <c r="AA690" s="218">
        <v>71006.328210000007</v>
      </c>
      <c r="AB690" s="180"/>
      <c r="AC690" s="252">
        <v>36.013154309999997</v>
      </c>
      <c r="AD690" s="180"/>
      <c r="AG690" s="218">
        <v>5.0718232040000002</v>
      </c>
      <c r="AH690" s="180"/>
      <c r="AM690" s="218">
        <v>99</v>
      </c>
      <c r="BS690" s="218">
        <v>53.940010100000002</v>
      </c>
      <c r="BT690" s="180"/>
      <c r="BU690" s="218">
        <v>17.598508800000001</v>
      </c>
      <c r="BV690" s="180"/>
    </row>
    <row r="691" spans="1:74">
      <c r="A691" s="154" t="s">
        <v>7873</v>
      </c>
      <c r="B691" s="224" t="s">
        <v>257</v>
      </c>
      <c r="C691" s="224" t="s">
        <v>7987</v>
      </c>
      <c r="D691" s="224"/>
      <c r="E691" s="223">
        <v>7</v>
      </c>
      <c r="F691" s="225">
        <v>55</v>
      </c>
      <c r="G691" s="223"/>
      <c r="I691" s="253">
        <v>35</v>
      </c>
      <c r="S691" s="218">
        <v>1719.2467140000001</v>
      </c>
      <c r="T691" s="180"/>
      <c r="Y691" s="218">
        <v>635.53456400000005</v>
      </c>
      <c r="Z691" s="180"/>
      <c r="AA691" s="218">
        <v>67011.094450000004</v>
      </c>
      <c r="AB691" s="180"/>
      <c r="AC691" s="252">
        <v>33.113043480000002</v>
      </c>
      <c r="AD691" s="180"/>
      <c r="AG691" s="218">
        <v>4.9414270499999997</v>
      </c>
      <c r="AH691" s="180"/>
      <c r="AM691" s="218">
        <v>99</v>
      </c>
      <c r="BS691" s="218">
        <v>51.920528400000002</v>
      </c>
      <c r="BT691" s="180"/>
      <c r="BU691" s="218">
        <v>19.192876800000001</v>
      </c>
      <c r="BV691" s="180"/>
    </row>
    <row r="692" spans="1:74">
      <c r="A692" s="154" t="s">
        <v>7873</v>
      </c>
      <c r="B692" s="224" t="s">
        <v>257</v>
      </c>
      <c r="C692" s="224" t="s">
        <v>7988</v>
      </c>
      <c r="D692" s="224"/>
      <c r="E692" s="222">
        <v>12</v>
      </c>
      <c r="F692" s="225">
        <v>24</v>
      </c>
      <c r="G692" s="223"/>
      <c r="I692" s="253">
        <v>33</v>
      </c>
      <c r="S692" s="218">
        <v>1843.5653729999999</v>
      </c>
      <c r="T692" s="180"/>
      <c r="Y692" s="218">
        <v>655.82198219999998</v>
      </c>
      <c r="Z692" s="180"/>
      <c r="AA692" s="218">
        <v>73409.112330000004</v>
      </c>
      <c r="AB692" s="180"/>
      <c r="AC692" s="252">
        <v>35.295852519999997</v>
      </c>
      <c r="AD692" s="180"/>
      <c r="AG692" s="218">
        <v>4.808102345</v>
      </c>
      <c r="AH692" s="180"/>
      <c r="AM692" s="218">
        <v>94</v>
      </c>
      <c r="BS692" s="218">
        <v>52.2317848</v>
      </c>
      <c r="BT692" s="180"/>
      <c r="BU692" s="218">
        <v>18.580709500000001</v>
      </c>
      <c r="BV692" s="180"/>
    </row>
    <row r="693" spans="1:74">
      <c r="A693" s="154" t="s">
        <v>7873</v>
      </c>
      <c r="B693" s="224" t="s">
        <v>257</v>
      </c>
      <c r="C693" s="224" t="s">
        <v>7989</v>
      </c>
      <c r="D693" s="224"/>
      <c r="E693" s="222">
        <v>16</v>
      </c>
      <c r="F693" s="225">
        <v>46</v>
      </c>
      <c r="G693" s="223"/>
      <c r="I693" s="253">
        <v>31</v>
      </c>
      <c r="S693" s="218">
        <v>1879.752152</v>
      </c>
      <c r="T693" s="180"/>
      <c r="Y693" s="218">
        <v>697.99589639999999</v>
      </c>
      <c r="Z693" s="180"/>
      <c r="AA693" s="218">
        <v>72810.816000000006</v>
      </c>
      <c r="AB693" s="180"/>
      <c r="AC693" s="252">
        <v>36.094250670000001</v>
      </c>
      <c r="AD693" s="180"/>
      <c r="AG693" s="218">
        <v>4.9572649569999996</v>
      </c>
      <c r="AH693" s="180"/>
      <c r="AM693" s="218">
        <v>92</v>
      </c>
      <c r="BS693" s="218">
        <v>52.078990900000001</v>
      </c>
      <c r="BT693" s="180"/>
      <c r="BU693" s="218">
        <v>19.338146200000001</v>
      </c>
      <c r="BV693" s="180"/>
    </row>
    <row r="694" spans="1:74">
      <c r="A694" s="154" t="s">
        <v>7873</v>
      </c>
      <c r="B694" s="224" t="s">
        <v>259</v>
      </c>
      <c r="C694" s="224" t="s">
        <v>405</v>
      </c>
      <c r="D694" s="224"/>
      <c r="E694" s="222">
        <v>3</v>
      </c>
      <c r="F694" s="225">
        <v>50</v>
      </c>
      <c r="G694" s="223"/>
      <c r="I694" s="253">
        <v>29</v>
      </c>
      <c r="S694" s="218">
        <v>1882.132083</v>
      </c>
      <c r="T694" s="180"/>
      <c r="Y694" s="218">
        <v>711.40024459999995</v>
      </c>
      <c r="Z694" s="180"/>
      <c r="AA694" s="218">
        <v>72688.68376</v>
      </c>
      <c r="AB694" s="180"/>
      <c r="AC694" s="252">
        <v>36.344341880000002</v>
      </c>
      <c r="AD694" s="180"/>
      <c r="AG694" s="218">
        <v>5</v>
      </c>
      <c r="AH694" s="180"/>
      <c r="AM694" s="218">
        <v>99</v>
      </c>
      <c r="BS694" s="218">
        <v>51.7861099</v>
      </c>
      <c r="BT694" s="180"/>
      <c r="BU694" s="218">
        <v>19.573892600000001</v>
      </c>
      <c r="BV694" s="180"/>
    </row>
    <row r="695" spans="1:74">
      <c r="A695" s="154" t="s">
        <v>7873</v>
      </c>
      <c r="B695" s="224" t="s">
        <v>259</v>
      </c>
      <c r="C695" s="224" t="s">
        <v>7987</v>
      </c>
      <c r="D695" s="224"/>
      <c r="E695" s="222">
        <v>6</v>
      </c>
      <c r="F695" s="225">
        <v>9</v>
      </c>
      <c r="G695" s="223"/>
      <c r="I695" s="253">
        <v>26</v>
      </c>
      <c r="S695" s="218">
        <v>1697.8881180000001</v>
      </c>
      <c r="T695" s="180"/>
      <c r="Y695" s="218">
        <v>738.580062</v>
      </c>
      <c r="Z695" s="180"/>
      <c r="AA695" s="218">
        <v>63342.971980000002</v>
      </c>
      <c r="AB695" s="180"/>
      <c r="AC695" s="252">
        <v>33.026797330000001</v>
      </c>
      <c r="AD695" s="180"/>
      <c r="AG695" s="218">
        <v>5.2139639640000004</v>
      </c>
      <c r="AH695" s="180"/>
      <c r="AM695" s="218">
        <v>94</v>
      </c>
      <c r="BS695" s="218">
        <v>51.409408599999999</v>
      </c>
      <c r="BT695" s="180"/>
      <c r="BU695" s="218">
        <v>22.363054300000002</v>
      </c>
      <c r="BV695" s="180"/>
    </row>
    <row r="696" spans="1:74">
      <c r="A696" s="154" t="s">
        <v>7873</v>
      </c>
      <c r="B696" s="224" t="s">
        <v>259</v>
      </c>
      <c r="C696" s="224" t="s">
        <v>7988</v>
      </c>
      <c r="D696" s="224"/>
      <c r="E696" s="223">
        <v>11</v>
      </c>
      <c r="F696" s="225">
        <v>59</v>
      </c>
      <c r="G696" s="223"/>
      <c r="I696" s="253">
        <v>36</v>
      </c>
      <c r="S696" s="218">
        <v>1938.497584</v>
      </c>
      <c r="T696" s="180"/>
      <c r="Y696" s="218">
        <v>702.71581939999999</v>
      </c>
      <c r="Z696" s="180"/>
      <c r="AA696" s="218">
        <v>75874.096390000006</v>
      </c>
      <c r="AB696" s="180"/>
      <c r="AC696" s="252">
        <v>37.25458278</v>
      </c>
      <c r="AD696" s="180"/>
      <c r="AG696" s="218">
        <v>4.9100529100000001</v>
      </c>
      <c r="AH696" s="180"/>
      <c r="AM696" s="218">
        <v>101</v>
      </c>
      <c r="BS696" s="218">
        <v>52.033802000000001</v>
      </c>
      <c r="BT696" s="180"/>
      <c r="BU696" s="218">
        <v>18.862533599999999</v>
      </c>
      <c r="BV696" s="180"/>
    </row>
    <row r="697" spans="1:74">
      <c r="A697" s="154" t="s">
        <v>7873</v>
      </c>
      <c r="B697" s="224" t="s">
        <v>259</v>
      </c>
      <c r="C697" s="224" t="s">
        <v>7989</v>
      </c>
      <c r="D697" s="224"/>
      <c r="E697" s="223">
        <v>15</v>
      </c>
      <c r="F697" s="225">
        <v>11</v>
      </c>
      <c r="G697" s="223"/>
      <c r="I697" s="253">
        <v>27</v>
      </c>
      <c r="S697" s="218">
        <v>1689.1706280000001</v>
      </c>
      <c r="T697" s="180"/>
      <c r="Y697" s="218">
        <v>670.25240199999996</v>
      </c>
      <c r="Z697" s="180"/>
      <c r="AA697" s="218">
        <v>64781.439579999998</v>
      </c>
      <c r="AB697" s="180"/>
      <c r="AC697" s="252">
        <v>33.021707839999998</v>
      </c>
      <c r="AD697" s="180"/>
      <c r="AG697" s="218">
        <v>5.0974025970000003</v>
      </c>
      <c r="AH697" s="180"/>
      <c r="AM697" s="218">
        <v>94</v>
      </c>
      <c r="BS697" s="218">
        <v>51.1533394</v>
      </c>
      <c r="BT697" s="180"/>
      <c r="BU697" s="218">
        <v>20.297326999999999</v>
      </c>
      <c r="BV697" s="180"/>
    </row>
    <row r="698" spans="1:74">
      <c r="A698" s="154" t="s">
        <v>7851</v>
      </c>
      <c r="B698" s="224" t="s">
        <v>257</v>
      </c>
      <c r="C698" s="224" t="s">
        <v>405</v>
      </c>
      <c r="D698" s="225"/>
      <c r="E698" s="222">
        <v>4</v>
      </c>
      <c r="F698" s="225">
        <v>1</v>
      </c>
      <c r="G698" s="223"/>
      <c r="I698" s="253">
        <v>36</v>
      </c>
      <c r="S698" s="218">
        <v>1674.342819</v>
      </c>
      <c r="T698" s="180"/>
      <c r="Y698" s="218">
        <v>619.63299689999997</v>
      </c>
      <c r="Z698" s="180"/>
      <c r="AA698" s="218">
        <v>71901.809779999996</v>
      </c>
      <c r="AB698" s="180"/>
      <c r="AC698" s="252">
        <v>33.549326219999998</v>
      </c>
      <c r="AD698" s="180"/>
      <c r="AG698" s="218">
        <v>4.6659919030000001</v>
      </c>
      <c r="AH698" s="180"/>
      <c r="AM698" s="218">
        <v>89</v>
      </c>
      <c r="BS698" s="218">
        <v>49.906898499999997</v>
      </c>
      <c r="BT698" s="180"/>
      <c r="BU698" s="218">
        <v>18.4693127</v>
      </c>
      <c r="BV698" s="180"/>
    </row>
    <row r="699" spans="1:74">
      <c r="A699" s="154" t="s">
        <v>7851</v>
      </c>
      <c r="B699" s="224" t="s">
        <v>257</v>
      </c>
      <c r="C699" s="224" t="s">
        <v>7987</v>
      </c>
      <c r="D699" s="225"/>
      <c r="E699" s="222">
        <v>5</v>
      </c>
      <c r="F699" s="225">
        <v>44</v>
      </c>
      <c r="G699" s="223"/>
      <c r="I699" s="253">
        <v>42</v>
      </c>
      <c r="S699" s="218" t="s">
        <v>7956</v>
      </c>
      <c r="T699" s="180"/>
      <c r="Y699" s="218" t="s">
        <v>7956</v>
      </c>
      <c r="Z699" s="180"/>
      <c r="AA699" s="218" t="s">
        <v>7956</v>
      </c>
      <c r="AB699" s="180"/>
      <c r="AC699" s="252" t="s">
        <v>7956</v>
      </c>
      <c r="AD699" s="180"/>
      <c r="AG699" s="218" t="s">
        <v>7956</v>
      </c>
      <c r="AH699" s="180"/>
      <c r="AM699" s="218">
        <v>87</v>
      </c>
      <c r="BS699" s="218" t="s">
        <v>7956</v>
      </c>
      <c r="BT699" s="180"/>
      <c r="BU699" s="218" t="s">
        <v>7956</v>
      </c>
      <c r="BV699" s="180"/>
    </row>
    <row r="700" spans="1:74">
      <c r="A700" s="154" t="s">
        <v>7851</v>
      </c>
      <c r="B700" s="224" t="s">
        <v>257</v>
      </c>
      <c r="C700" s="224" t="s">
        <v>7988</v>
      </c>
      <c r="D700" s="225"/>
      <c r="E700" s="222">
        <v>12</v>
      </c>
      <c r="F700" s="225">
        <v>4</v>
      </c>
      <c r="G700" s="223"/>
      <c r="I700" s="253">
        <v>37</v>
      </c>
      <c r="S700" s="218">
        <v>1570.617393</v>
      </c>
      <c r="T700" s="180"/>
      <c r="Y700" s="218">
        <v>561.31336309999995</v>
      </c>
      <c r="Z700" s="180"/>
      <c r="AA700" s="218">
        <v>69650.057910000003</v>
      </c>
      <c r="AB700" s="180"/>
      <c r="AC700" s="252">
        <v>31.369627250000001</v>
      </c>
      <c r="AD700" s="180"/>
      <c r="AG700" s="218">
        <v>4.5038910510000001</v>
      </c>
      <c r="AH700" s="180"/>
      <c r="AM700" s="218">
        <v>89</v>
      </c>
      <c r="BS700" s="218">
        <v>50.068092300000004</v>
      </c>
      <c r="BT700" s="180"/>
      <c r="BU700" s="218">
        <v>17.893529900000001</v>
      </c>
      <c r="BV700" s="180"/>
    </row>
    <row r="701" spans="1:74">
      <c r="A701" s="154" t="s">
        <v>7851</v>
      </c>
      <c r="B701" s="224" t="s">
        <v>257</v>
      </c>
      <c r="C701" s="224" t="s">
        <v>7989</v>
      </c>
      <c r="D701" s="225"/>
      <c r="E701" s="222">
        <v>13</v>
      </c>
      <c r="F701" s="225">
        <v>63</v>
      </c>
      <c r="G701" s="223"/>
      <c r="I701" s="253">
        <v>32</v>
      </c>
      <c r="S701" s="218">
        <v>1753.3586459999999</v>
      </c>
      <c r="T701" s="180"/>
      <c r="Y701" s="218">
        <v>634.71170849999999</v>
      </c>
      <c r="Z701" s="180"/>
      <c r="AA701" s="218">
        <v>83078.636400000003</v>
      </c>
      <c r="AB701" s="180"/>
      <c r="AC701" s="252">
        <v>35.13991549</v>
      </c>
      <c r="AD701" s="180"/>
      <c r="AG701" s="218">
        <v>4.2297174110000002</v>
      </c>
      <c r="AH701" s="180"/>
      <c r="AM701" s="218">
        <v>89</v>
      </c>
      <c r="BS701" s="218">
        <v>49.896495799999997</v>
      </c>
      <c r="BT701" s="180"/>
      <c r="BU701" s="218">
        <v>18.062414199999999</v>
      </c>
      <c r="BV701" s="180"/>
    </row>
    <row r="702" spans="1:74">
      <c r="A702" s="154" t="s">
        <v>7851</v>
      </c>
      <c r="B702" s="224" t="s">
        <v>259</v>
      </c>
      <c r="C702" s="224" t="s">
        <v>405</v>
      </c>
      <c r="D702" s="225"/>
      <c r="E702" s="223">
        <v>3</v>
      </c>
      <c r="F702" s="225">
        <v>58</v>
      </c>
      <c r="G702" s="223"/>
      <c r="I702" s="253">
        <v>35</v>
      </c>
      <c r="S702" s="218">
        <v>2171.4000809999998</v>
      </c>
      <c r="T702" s="180"/>
      <c r="Y702" s="218">
        <v>727.4172466</v>
      </c>
      <c r="Z702" s="180"/>
      <c r="AA702" s="218">
        <v>90830.455860000002</v>
      </c>
      <c r="AB702" s="180"/>
      <c r="AC702" s="252">
        <v>42.072595849999999</v>
      </c>
      <c r="AD702" s="180"/>
      <c r="AG702" s="218">
        <v>4.6319921490000002</v>
      </c>
      <c r="AH702" s="180"/>
      <c r="AM702" s="218">
        <v>89</v>
      </c>
      <c r="BS702" s="218">
        <v>51.6107941</v>
      </c>
      <c r="BT702" s="180"/>
      <c r="BU702" s="218">
        <v>17.289573699999998</v>
      </c>
      <c r="BV702" s="180"/>
    </row>
    <row r="703" spans="1:74">
      <c r="A703" s="154" t="s">
        <v>7851</v>
      </c>
      <c r="B703" s="224" t="s">
        <v>259</v>
      </c>
      <c r="C703" s="224" t="s">
        <v>7987</v>
      </c>
      <c r="D703" s="225"/>
      <c r="E703" s="223">
        <v>6</v>
      </c>
      <c r="F703" s="225">
        <v>12</v>
      </c>
      <c r="G703" s="223"/>
      <c r="I703" s="253">
        <v>36</v>
      </c>
      <c r="S703" s="218">
        <v>1870.943156</v>
      </c>
      <c r="T703" s="180"/>
      <c r="Y703" s="218">
        <v>745.99498779999999</v>
      </c>
      <c r="Z703" s="180"/>
      <c r="AA703" s="218">
        <v>80349.736780000007</v>
      </c>
      <c r="AB703" s="180"/>
      <c r="AC703" s="252">
        <v>37.638369570000002</v>
      </c>
      <c r="AD703" s="180"/>
      <c r="AG703" s="218">
        <v>4.684317719</v>
      </c>
      <c r="AH703" s="180"/>
      <c r="AM703" s="218">
        <v>89</v>
      </c>
      <c r="BS703" s="218">
        <v>49.708400699999999</v>
      </c>
      <c r="BT703" s="180"/>
      <c r="BU703" s="218">
        <v>19.820066499999999</v>
      </c>
      <c r="BV703" s="180"/>
    </row>
    <row r="704" spans="1:74">
      <c r="A704" s="154" t="s">
        <v>7851</v>
      </c>
      <c r="B704" t="s">
        <v>259</v>
      </c>
      <c r="C704" t="s">
        <v>7988</v>
      </c>
      <c r="D704" s="224"/>
      <c r="E704" s="223">
        <v>12</v>
      </c>
      <c r="F704" s="223">
        <v>61</v>
      </c>
      <c r="G704" s="223"/>
      <c r="I704" s="253">
        <v>29</v>
      </c>
      <c r="S704" s="218">
        <v>2160.7253620000001</v>
      </c>
      <c r="T704" s="220"/>
      <c r="Y704" s="218">
        <v>768.60343950000004</v>
      </c>
      <c r="Z704" s="220"/>
      <c r="AA704" s="218">
        <v>93194.584130000003</v>
      </c>
      <c r="AB704" s="220"/>
      <c r="AC704" s="252">
        <v>42.83714286</v>
      </c>
      <c r="AD704" s="220"/>
      <c r="AG704" s="218">
        <v>4.5965270680000003</v>
      </c>
      <c r="AH704" s="220"/>
      <c r="AM704" s="218">
        <v>89</v>
      </c>
      <c r="BS704" s="218">
        <v>50.440463999999999</v>
      </c>
      <c r="BT704" s="220"/>
      <c r="BU704" s="218">
        <v>17.942453400000002</v>
      </c>
      <c r="BV704" s="220"/>
    </row>
    <row r="705" spans="1:74">
      <c r="A705" s="154" t="s">
        <v>7851</v>
      </c>
      <c r="B705" t="s">
        <v>259</v>
      </c>
      <c r="C705" t="s">
        <v>7989</v>
      </c>
      <c r="D705" s="224"/>
      <c r="E705" s="223">
        <v>13</v>
      </c>
      <c r="F705" s="223">
        <v>29</v>
      </c>
      <c r="G705" s="223"/>
      <c r="I705" s="253">
        <v>29</v>
      </c>
      <c r="S705" s="218">
        <v>1676.2665079999999</v>
      </c>
      <c r="T705" s="220"/>
      <c r="Y705" s="218">
        <v>664.95466139999996</v>
      </c>
      <c r="Z705" s="220"/>
      <c r="AA705" s="218">
        <v>76193.394520000002</v>
      </c>
      <c r="AB705" s="220"/>
      <c r="AC705" s="252">
        <v>33.880027210000002</v>
      </c>
      <c r="AD705" s="220"/>
      <c r="AG705" s="218">
        <v>4.446583253</v>
      </c>
      <c r="AH705" s="220"/>
      <c r="AM705" s="218">
        <v>92</v>
      </c>
      <c r="BS705" s="218">
        <v>49.476539600000002</v>
      </c>
      <c r="BT705" s="220"/>
      <c r="BU705" s="218">
        <v>19.626745199999998</v>
      </c>
      <c r="BV705" s="220"/>
    </row>
    <row r="706" spans="1:74">
      <c r="A706" s="154" t="s">
        <v>7784</v>
      </c>
      <c r="B706" t="s">
        <v>257</v>
      </c>
      <c r="C706" t="s">
        <v>405</v>
      </c>
      <c r="E706" s="113">
        <v>2</v>
      </c>
      <c r="F706" s="113">
        <v>26</v>
      </c>
      <c r="I706" s="253">
        <v>38</v>
      </c>
      <c r="S706" s="218">
        <v>1424.8552480000001</v>
      </c>
      <c r="Y706" s="218">
        <v>494.99716649999999</v>
      </c>
      <c r="AA706" s="218">
        <v>60650.349719999998</v>
      </c>
      <c r="AC706" s="252">
        <v>27.040436379999999</v>
      </c>
      <c r="AG706" s="218">
        <v>4.4584139260000004</v>
      </c>
      <c r="AM706" s="218">
        <v>94</v>
      </c>
      <c r="BS706" s="218">
        <v>52.693500499999999</v>
      </c>
      <c r="BU706" s="218">
        <v>18.305812800000002</v>
      </c>
    </row>
    <row r="707" spans="1:74">
      <c r="A707" s="154" t="s">
        <v>7784</v>
      </c>
      <c r="B707" t="s">
        <v>257</v>
      </c>
      <c r="C707" t="s">
        <v>7987</v>
      </c>
      <c r="E707" s="113">
        <v>5</v>
      </c>
      <c r="F707" s="113">
        <v>41</v>
      </c>
      <c r="I707" s="253">
        <v>38</v>
      </c>
      <c r="S707" s="218">
        <v>1668.9559200000001</v>
      </c>
      <c r="Y707" s="218">
        <v>659.18376390000003</v>
      </c>
      <c r="AA707" s="218">
        <v>77389.371159999995</v>
      </c>
      <c r="AC707" s="252">
        <v>33.166873350000003</v>
      </c>
      <c r="AG707" s="218">
        <v>4.2857142860000002</v>
      </c>
      <c r="AM707" s="218">
        <v>94</v>
      </c>
      <c r="BS707" s="218">
        <v>50.319965400000001</v>
      </c>
      <c r="BU707" s="218">
        <v>19.8747635</v>
      </c>
    </row>
    <row r="708" spans="1:74">
      <c r="A708" s="154" t="s">
        <v>7784</v>
      </c>
      <c r="B708" t="s">
        <v>257</v>
      </c>
      <c r="C708" t="s">
        <v>7988</v>
      </c>
      <c r="E708" s="113">
        <v>9</v>
      </c>
      <c r="F708" s="113">
        <v>27</v>
      </c>
      <c r="I708" s="253">
        <v>38</v>
      </c>
      <c r="S708" s="218">
        <v>1442.4268520000001</v>
      </c>
      <c r="Y708" s="218">
        <v>545.37448570000004</v>
      </c>
      <c r="AA708" s="218">
        <v>62258.605640000002</v>
      </c>
      <c r="AC708" s="252">
        <v>28.48914499</v>
      </c>
      <c r="AG708" s="218">
        <v>4.5759368839999999</v>
      </c>
      <c r="AM708" s="218">
        <v>94</v>
      </c>
      <c r="BS708" s="218">
        <v>50.630752600000001</v>
      </c>
      <c r="BU708" s="218">
        <v>19.143238100000001</v>
      </c>
    </row>
    <row r="709" spans="1:74">
      <c r="A709" s="154" t="s">
        <v>7784</v>
      </c>
      <c r="B709" t="s">
        <v>257</v>
      </c>
      <c r="C709" t="s">
        <v>7989</v>
      </c>
      <c r="E709" s="113">
        <v>13</v>
      </c>
      <c r="F709" s="113">
        <v>40</v>
      </c>
      <c r="I709" s="253">
        <v>35</v>
      </c>
      <c r="S709" s="218">
        <v>1787.8786190000001</v>
      </c>
      <c r="Y709" s="218">
        <v>676.469065</v>
      </c>
      <c r="AA709" s="218">
        <v>78310.082630000004</v>
      </c>
      <c r="AC709" s="252">
        <v>34.846113320000001</v>
      </c>
      <c r="AG709" s="218">
        <v>4.4497607659999998</v>
      </c>
      <c r="AM709" s="218">
        <v>99</v>
      </c>
      <c r="BS709" s="218">
        <v>51.3078346</v>
      </c>
      <c r="BU709" s="218">
        <v>19.413042099999998</v>
      </c>
    </row>
    <row r="710" spans="1:74">
      <c r="A710" s="154" t="s">
        <v>7784</v>
      </c>
      <c r="B710" t="s">
        <v>259</v>
      </c>
      <c r="C710" t="s">
        <v>405</v>
      </c>
      <c r="E710" s="113">
        <v>3</v>
      </c>
      <c r="F710" s="113">
        <v>53</v>
      </c>
      <c r="I710" s="253">
        <v>37</v>
      </c>
      <c r="S710" s="218">
        <v>1755.5409709999999</v>
      </c>
      <c r="Y710" s="218">
        <v>712.02505770000005</v>
      </c>
      <c r="AA710" s="218">
        <v>76443.844129999998</v>
      </c>
      <c r="AC710" s="252">
        <v>35.20638581</v>
      </c>
      <c r="AG710" s="218">
        <v>4.6055226820000001</v>
      </c>
      <c r="AM710" s="218">
        <v>101</v>
      </c>
      <c r="BS710" s="218">
        <v>49.8642769</v>
      </c>
      <c r="BU710" s="218">
        <v>20.224315600000001</v>
      </c>
    </row>
    <row r="711" spans="1:74">
      <c r="A711" s="154" t="s">
        <v>7784</v>
      </c>
      <c r="B711" t="s">
        <v>259</v>
      </c>
      <c r="C711" t="s">
        <v>7987</v>
      </c>
      <c r="E711" s="113">
        <v>6</v>
      </c>
      <c r="F711" s="113">
        <v>29</v>
      </c>
      <c r="I711" s="253">
        <v>37</v>
      </c>
      <c r="S711" s="218">
        <v>1833.6009140000001</v>
      </c>
      <c r="Y711" s="218">
        <v>731.37401460000001</v>
      </c>
      <c r="AA711" s="218">
        <v>81019.855119999993</v>
      </c>
      <c r="AC711" s="252">
        <v>36.661286060000002</v>
      </c>
      <c r="AG711" s="218">
        <v>4.5249755140000003</v>
      </c>
      <c r="AM711" s="218">
        <v>94</v>
      </c>
      <c r="BS711" s="218">
        <v>50.014637</v>
      </c>
      <c r="BU711" s="218">
        <v>19.949491500000001</v>
      </c>
    </row>
    <row r="712" spans="1:74">
      <c r="A712" s="154" t="s">
        <v>7784</v>
      </c>
      <c r="B712" t="s">
        <v>259</v>
      </c>
      <c r="C712" t="s">
        <v>7988</v>
      </c>
      <c r="E712" s="113">
        <v>11</v>
      </c>
      <c r="F712" s="113">
        <v>43</v>
      </c>
      <c r="I712" s="253">
        <v>39</v>
      </c>
      <c r="S712" s="218">
        <v>1849.9886710000001</v>
      </c>
      <c r="Y712" s="218">
        <v>736.24837830000001</v>
      </c>
      <c r="AA712" s="218">
        <v>80675.064689999999</v>
      </c>
      <c r="AC712" s="252">
        <v>36.706365050000002</v>
      </c>
      <c r="AG712" s="218">
        <v>4.5499021529999997</v>
      </c>
      <c r="AM712" s="218">
        <v>92</v>
      </c>
      <c r="BS712" s="218">
        <v>50.399669600000003</v>
      </c>
      <c r="BU712" s="218">
        <v>20.057784999999999</v>
      </c>
    </row>
    <row r="713" spans="1:74">
      <c r="A713" s="154" t="s">
        <v>7784</v>
      </c>
      <c r="B713" t="s">
        <v>259</v>
      </c>
      <c r="C713" t="s">
        <v>7989</v>
      </c>
      <c r="E713" s="113">
        <v>14</v>
      </c>
      <c r="F713" s="113">
        <v>6</v>
      </c>
      <c r="I713" s="253">
        <v>32</v>
      </c>
      <c r="S713" s="218">
        <v>1508.1627289999999</v>
      </c>
      <c r="Y713" s="218">
        <v>621.62559690000001</v>
      </c>
      <c r="AA713" s="218">
        <v>66206.660459999999</v>
      </c>
      <c r="AC713" s="252">
        <v>30.486466180000001</v>
      </c>
      <c r="AG713" s="218">
        <v>4.6047430829999998</v>
      </c>
      <c r="AM713" s="218">
        <v>94</v>
      </c>
      <c r="BS713" s="218">
        <v>49.469909700000002</v>
      </c>
      <c r="BU713" s="218">
        <v>20.3902149</v>
      </c>
    </row>
    <row r="714" spans="1:74">
      <c r="A714" s="154" t="s">
        <v>7785</v>
      </c>
      <c r="B714" t="s">
        <v>257</v>
      </c>
      <c r="C714" t="s">
        <v>405</v>
      </c>
      <c r="E714" s="113">
        <v>2</v>
      </c>
      <c r="F714" s="113">
        <v>10</v>
      </c>
      <c r="I714" s="253">
        <v>36</v>
      </c>
      <c r="S714" s="218">
        <v>1245.23603</v>
      </c>
      <c r="Y714" s="218">
        <v>460.0064706</v>
      </c>
      <c r="AA714" s="218">
        <v>60314.378019999996</v>
      </c>
      <c r="AC714" s="252">
        <v>24.642270409999998</v>
      </c>
      <c r="AG714" s="218">
        <v>4.0856378229999999</v>
      </c>
      <c r="AM714" s="218">
        <v>94</v>
      </c>
      <c r="BS714" s="218">
        <v>50.532520300000002</v>
      </c>
      <c r="BU714" s="218">
        <v>18.667373699999999</v>
      </c>
    </row>
    <row r="715" spans="1:74">
      <c r="A715" s="154" t="s">
        <v>7785</v>
      </c>
      <c r="B715" t="s">
        <v>257</v>
      </c>
      <c r="C715" t="s">
        <v>7987</v>
      </c>
      <c r="E715" s="113">
        <v>8</v>
      </c>
      <c r="F715" s="113">
        <v>36</v>
      </c>
      <c r="I715" s="253">
        <v>29</v>
      </c>
      <c r="S715" s="218">
        <v>1514.1928210000001</v>
      </c>
      <c r="Y715" s="218">
        <v>600.38125309999998</v>
      </c>
      <c r="AA715" s="218">
        <v>72971.108429999993</v>
      </c>
      <c r="AC715" s="252">
        <v>30.32223115</v>
      </c>
      <c r="AG715" s="218">
        <v>4.1553748869999998</v>
      </c>
      <c r="AM715" s="218">
        <v>92</v>
      </c>
      <c r="BS715" s="218">
        <v>49.936721800000001</v>
      </c>
      <c r="BU715" s="218">
        <v>19.8000355</v>
      </c>
    </row>
    <row r="716" spans="1:74">
      <c r="A716" s="154" t="s">
        <v>7785</v>
      </c>
      <c r="B716" t="s">
        <v>257</v>
      </c>
      <c r="C716" t="s">
        <v>7988</v>
      </c>
      <c r="E716" s="113">
        <v>9</v>
      </c>
      <c r="F716" s="113">
        <v>4</v>
      </c>
      <c r="I716" s="253">
        <v>33</v>
      </c>
      <c r="S716" s="218">
        <v>1327.557855</v>
      </c>
      <c r="Y716" s="218">
        <v>467.33922109999997</v>
      </c>
      <c r="AA716" s="218">
        <v>60352.605389999997</v>
      </c>
      <c r="AC716" s="252">
        <v>25.984378400000001</v>
      </c>
      <c r="AG716" s="218">
        <v>4.3054277829999998</v>
      </c>
      <c r="AM716" s="218">
        <v>92</v>
      </c>
      <c r="BS716" s="218">
        <v>51.090614299999999</v>
      </c>
      <c r="BU716" s="218">
        <v>17.9853916</v>
      </c>
    </row>
    <row r="717" spans="1:74">
      <c r="A717" s="154" t="s">
        <v>7785</v>
      </c>
      <c r="B717" t="s">
        <v>257</v>
      </c>
      <c r="C717" t="s">
        <v>7989</v>
      </c>
      <c r="E717" s="113">
        <v>15</v>
      </c>
      <c r="F717" s="113">
        <v>44</v>
      </c>
      <c r="I717" s="253">
        <v>37</v>
      </c>
      <c r="S717" s="218">
        <v>1801.17139</v>
      </c>
      <c r="Y717" s="218">
        <v>671.03302729999996</v>
      </c>
      <c r="AA717" s="218">
        <v>85265.789009999993</v>
      </c>
      <c r="AC717" s="252">
        <v>36.014791750000001</v>
      </c>
      <c r="AG717" s="218">
        <v>4.2238267150000004</v>
      </c>
      <c r="AM717" s="218">
        <v>94</v>
      </c>
      <c r="BS717" s="218">
        <v>50.0119896</v>
      </c>
      <c r="BU717" s="218">
        <v>18.6321507</v>
      </c>
    </row>
    <row r="718" spans="1:74">
      <c r="A718" s="154" t="s">
        <v>7785</v>
      </c>
      <c r="B718" t="s">
        <v>259</v>
      </c>
      <c r="C718" t="s">
        <v>405</v>
      </c>
      <c r="E718" s="113">
        <v>4</v>
      </c>
      <c r="F718" s="113">
        <v>39</v>
      </c>
      <c r="I718" s="253">
        <v>37</v>
      </c>
      <c r="S718" s="218">
        <v>1795.0451109999999</v>
      </c>
      <c r="Y718" s="218">
        <v>754.89145159999998</v>
      </c>
      <c r="AA718" s="218">
        <v>85642.117570000002</v>
      </c>
      <c r="AC718" s="252">
        <v>36.52499443</v>
      </c>
      <c r="AG718" s="218">
        <v>4.2648401829999996</v>
      </c>
      <c r="AM718" s="218">
        <v>94</v>
      </c>
      <c r="BS718" s="218">
        <v>49.145664199999999</v>
      </c>
      <c r="BU718" s="218">
        <v>20.667804700000001</v>
      </c>
    </row>
    <row r="719" spans="1:74">
      <c r="A719" s="154" t="s">
        <v>7785</v>
      </c>
      <c r="B719" t="s">
        <v>259</v>
      </c>
      <c r="C719" t="s">
        <v>7987</v>
      </c>
      <c r="E719" s="113">
        <v>6</v>
      </c>
      <c r="F719" s="113">
        <v>2</v>
      </c>
      <c r="I719" s="253">
        <v>30</v>
      </c>
      <c r="S719" s="218" t="s">
        <v>7956</v>
      </c>
      <c r="Y719" s="218" t="s">
        <v>7956</v>
      </c>
      <c r="AA719" s="218" t="s">
        <v>7956</v>
      </c>
      <c r="AC719" s="252" t="s">
        <v>7956</v>
      </c>
      <c r="AG719" s="218">
        <v>4.1500904160000003</v>
      </c>
      <c r="AM719" s="218">
        <v>92</v>
      </c>
      <c r="BS719" s="218">
        <v>48.027278899999999</v>
      </c>
      <c r="BU719" s="218">
        <v>21.235504200000001</v>
      </c>
    </row>
    <row r="720" spans="1:74">
      <c r="A720" s="154" t="s">
        <v>7785</v>
      </c>
      <c r="B720" t="s">
        <v>259</v>
      </c>
      <c r="C720" t="s">
        <v>7988</v>
      </c>
      <c r="E720" s="113">
        <v>12</v>
      </c>
      <c r="F720" s="113">
        <v>50</v>
      </c>
      <c r="I720" s="253">
        <v>41</v>
      </c>
      <c r="S720" s="218">
        <v>1892.910525</v>
      </c>
      <c r="Y720" s="218">
        <v>831.02213500000005</v>
      </c>
      <c r="AA720" s="218">
        <v>93349.596189999997</v>
      </c>
      <c r="AC720" s="252">
        <v>38.909886530000001</v>
      </c>
      <c r="AG720" s="218">
        <v>4.168190128</v>
      </c>
      <c r="AM720" s="218">
        <v>94</v>
      </c>
      <c r="BS720" s="218">
        <v>48.648574799999999</v>
      </c>
      <c r="BU720" s="218">
        <v>21.357608800000001</v>
      </c>
    </row>
    <row r="721" spans="1:73">
      <c r="A721" s="154" t="s">
        <v>7785</v>
      </c>
      <c r="B721" t="s">
        <v>259</v>
      </c>
      <c r="C721" t="s">
        <v>7989</v>
      </c>
      <c r="E721" s="113">
        <v>16</v>
      </c>
      <c r="F721" s="113">
        <v>11</v>
      </c>
      <c r="I721" s="253">
        <v>32</v>
      </c>
      <c r="S721" s="218">
        <v>1502.083277</v>
      </c>
      <c r="Y721" s="218">
        <v>608.74412849999999</v>
      </c>
      <c r="AA721" s="218">
        <v>73689.050829999993</v>
      </c>
      <c r="AC721" s="252">
        <v>30.31180814</v>
      </c>
      <c r="AG721" s="218">
        <v>4.1134751769999998</v>
      </c>
      <c r="AM721" s="218">
        <v>92</v>
      </c>
      <c r="BS721" s="218">
        <v>49.5543938</v>
      </c>
      <c r="BU721" s="218">
        <v>20.082738899999999</v>
      </c>
    </row>
    <row r="722" spans="1:73">
      <c r="A722" s="154" t="s">
        <v>7786</v>
      </c>
      <c r="B722" t="s">
        <v>257</v>
      </c>
      <c r="C722" t="s">
        <v>405</v>
      </c>
      <c r="E722" s="113">
        <v>1</v>
      </c>
      <c r="F722" s="113">
        <v>5</v>
      </c>
      <c r="I722" s="253">
        <v>29</v>
      </c>
      <c r="S722" s="218">
        <v>1662.217576</v>
      </c>
      <c r="Y722" s="218">
        <v>619.05841099999998</v>
      </c>
      <c r="AA722" s="218">
        <v>71823.636679999996</v>
      </c>
      <c r="AC722" s="252">
        <v>32.963568170000002</v>
      </c>
      <c r="AG722" s="218">
        <v>4.5895153310000003</v>
      </c>
      <c r="AM722" s="218">
        <v>94</v>
      </c>
      <c r="BS722" s="218">
        <v>49.8909035</v>
      </c>
      <c r="BU722" s="218">
        <v>18.780078899999999</v>
      </c>
    </row>
    <row r="723" spans="1:73">
      <c r="A723" s="154" t="s">
        <v>7786</v>
      </c>
      <c r="B723" t="s">
        <v>257</v>
      </c>
      <c r="C723" t="s">
        <v>7987</v>
      </c>
      <c r="E723" s="113">
        <v>5</v>
      </c>
      <c r="F723" s="113">
        <v>43</v>
      </c>
      <c r="I723" s="253">
        <v>30</v>
      </c>
      <c r="S723" s="218">
        <v>1575.324282</v>
      </c>
      <c r="Y723" s="218">
        <v>505.95489529999998</v>
      </c>
      <c r="AA723" s="218">
        <v>70659.467210000003</v>
      </c>
      <c r="AC723" s="252">
        <v>30.083469950000001</v>
      </c>
      <c r="AG723" s="218">
        <v>4.2575285569999997</v>
      </c>
      <c r="AM723" s="218">
        <v>94</v>
      </c>
      <c r="BS723" s="218">
        <v>52.3651123</v>
      </c>
      <c r="BU723" s="218">
        <v>16.818368899999999</v>
      </c>
    </row>
    <row r="724" spans="1:73">
      <c r="A724" s="154" t="s">
        <v>7786</v>
      </c>
      <c r="B724" t="s">
        <v>257</v>
      </c>
      <c r="C724" t="s">
        <v>7988</v>
      </c>
      <c r="E724" s="113">
        <v>9</v>
      </c>
      <c r="F724" s="113">
        <v>18</v>
      </c>
      <c r="I724" s="253">
        <v>28</v>
      </c>
      <c r="S724" s="218">
        <v>1521.3144279999999</v>
      </c>
      <c r="Y724" s="218">
        <v>534.41496189999998</v>
      </c>
      <c r="AA724" s="218">
        <v>61771.37515</v>
      </c>
      <c r="AC724" s="252">
        <v>29.49044091</v>
      </c>
      <c r="AG724" s="218">
        <v>4.7741273099999999</v>
      </c>
      <c r="AM724" s="218">
        <v>92</v>
      </c>
      <c r="BS724" s="218">
        <v>51.586696600000003</v>
      </c>
      <c r="BU724" s="218">
        <v>18.121633500000002</v>
      </c>
    </row>
    <row r="725" spans="1:73">
      <c r="A725" s="154" t="s">
        <v>7786</v>
      </c>
      <c r="B725" t="s">
        <v>257</v>
      </c>
      <c r="C725" t="s">
        <v>7989</v>
      </c>
      <c r="E725" s="113">
        <v>14</v>
      </c>
      <c r="F725" s="113">
        <v>34</v>
      </c>
      <c r="I725" s="253">
        <v>32</v>
      </c>
      <c r="S725" s="218">
        <v>1976.416696</v>
      </c>
      <c r="Y725" s="218">
        <v>657.94639600000005</v>
      </c>
      <c r="AA725" s="218">
        <v>77602.650510000007</v>
      </c>
      <c r="AC725" s="252">
        <v>37.837317169999999</v>
      </c>
      <c r="AG725" s="218">
        <v>4.8757763980000002</v>
      </c>
      <c r="AM725" s="218">
        <v>94</v>
      </c>
      <c r="BS725" s="218">
        <v>52.234588600000002</v>
      </c>
      <c r="BU725" s="218">
        <v>17.388822600000001</v>
      </c>
    </row>
    <row r="726" spans="1:73">
      <c r="A726" s="154" t="s">
        <v>7786</v>
      </c>
      <c r="B726" t="s">
        <v>259</v>
      </c>
      <c r="C726" t="s">
        <v>405</v>
      </c>
      <c r="E726" s="113">
        <v>3</v>
      </c>
      <c r="F726" s="113">
        <v>37</v>
      </c>
      <c r="I726" s="253">
        <v>25</v>
      </c>
      <c r="S726" s="218">
        <v>1870.317364</v>
      </c>
      <c r="Y726" s="218">
        <v>667.04414840000004</v>
      </c>
      <c r="AA726" s="218">
        <v>75893.287920000002</v>
      </c>
      <c r="AC726" s="252">
        <v>36.8305662</v>
      </c>
      <c r="AG726" s="218">
        <v>4.8529411759999999</v>
      </c>
      <c r="AM726" s="218">
        <v>94</v>
      </c>
      <c r="BS726" s="218">
        <v>50.781661999999997</v>
      </c>
      <c r="BU726" s="218">
        <v>18.1111565</v>
      </c>
    </row>
    <row r="727" spans="1:73">
      <c r="A727" s="154" t="s">
        <v>7786</v>
      </c>
      <c r="B727" t="s">
        <v>259</v>
      </c>
      <c r="C727" t="s">
        <v>7987</v>
      </c>
      <c r="E727" s="113">
        <v>6</v>
      </c>
      <c r="F727" s="113">
        <v>28</v>
      </c>
      <c r="I727" s="253">
        <v>26</v>
      </c>
      <c r="S727" s="218">
        <v>1749.368348</v>
      </c>
      <c r="Y727" s="218">
        <v>654.19834749999995</v>
      </c>
      <c r="AA727" s="218">
        <v>77215.314629999993</v>
      </c>
      <c r="AC727" s="252">
        <v>34.735613790000002</v>
      </c>
      <c r="AG727" s="218">
        <v>4.4985394349999996</v>
      </c>
      <c r="AM727" s="218">
        <v>92</v>
      </c>
      <c r="BS727" s="218">
        <v>50.362384800000001</v>
      </c>
      <c r="BU727" s="218">
        <v>18.833648700000001</v>
      </c>
    </row>
    <row r="728" spans="1:73">
      <c r="A728" s="154" t="s">
        <v>7786</v>
      </c>
      <c r="B728" t="s">
        <v>259</v>
      </c>
      <c r="C728" t="s">
        <v>7988</v>
      </c>
      <c r="E728" s="113">
        <v>11</v>
      </c>
      <c r="F728" s="113">
        <v>47</v>
      </c>
      <c r="I728" s="253">
        <v>34</v>
      </c>
      <c r="S728" s="218">
        <v>2088.4919989999999</v>
      </c>
      <c r="Y728" s="218">
        <v>765.49992850000001</v>
      </c>
      <c r="AA728" s="218">
        <v>85925.367639999997</v>
      </c>
      <c r="AC728" s="252">
        <v>41.364898060000002</v>
      </c>
      <c r="AG728" s="218">
        <v>4.8140495870000004</v>
      </c>
      <c r="AM728" s="218">
        <v>94</v>
      </c>
      <c r="BS728" s="218">
        <v>50.489475300000002</v>
      </c>
      <c r="BU728" s="218">
        <v>18.506027199999998</v>
      </c>
    </row>
    <row r="729" spans="1:73">
      <c r="A729" s="154" t="s">
        <v>7786</v>
      </c>
      <c r="B729" t="s">
        <v>259</v>
      </c>
      <c r="C729" t="s">
        <v>7989</v>
      </c>
      <c r="E729" s="113">
        <v>16</v>
      </c>
      <c r="F729" s="113">
        <v>7</v>
      </c>
      <c r="I729" s="253">
        <v>30</v>
      </c>
      <c r="S729" s="218">
        <v>1902.3314600000001</v>
      </c>
      <c r="Y729" s="218">
        <v>765.07618849999994</v>
      </c>
      <c r="AA729" s="218">
        <v>78851.176909999995</v>
      </c>
      <c r="AC729" s="252">
        <v>38.719334500000002</v>
      </c>
      <c r="AG729" s="218">
        <v>4.9104320340000003</v>
      </c>
      <c r="AM729" s="218">
        <v>94</v>
      </c>
      <c r="BS729" s="218">
        <v>49.131305699999999</v>
      </c>
      <c r="BU729" s="218">
        <v>19.7595387</v>
      </c>
    </row>
    <row r="730" spans="1:73">
      <c r="A730" s="154" t="s">
        <v>7874</v>
      </c>
      <c r="B730" t="s">
        <v>257</v>
      </c>
      <c r="C730" t="s">
        <v>405</v>
      </c>
      <c r="E730" s="113">
        <v>2</v>
      </c>
      <c r="F730" s="113">
        <v>18</v>
      </c>
      <c r="I730" s="253">
        <v>37</v>
      </c>
      <c r="S730" s="218">
        <v>1379.004048</v>
      </c>
      <c r="Y730" s="218">
        <v>510.69649040000002</v>
      </c>
      <c r="AA730" s="218">
        <v>60583.935089999999</v>
      </c>
      <c r="AC730" s="252">
        <v>27.714572910000001</v>
      </c>
      <c r="AG730" s="218">
        <v>4.5745745749999998</v>
      </c>
      <c r="AM730" s="218">
        <v>94</v>
      </c>
      <c r="BS730" s="218">
        <v>49.757362399999998</v>
      </c>
      <c r="BU730" s="218">
        <v>18.427002000000002</v>
      </c>
    </row>
    <row r="731" spans="1:73">
      <c r="A731" s="154" t="s">
        <v>7874</v>
      </c>
      <c r="B731" t="s">
        <v>257</v>
      </c>
      <c r="C731" t="s">
        <v>7987</v>
      </c>
      <c r="E731" s="113">
        <v>5</v>
      </c>
      <c r="F731" s="113">
        <v>60</v>
      </c>
      <c r="I731" s="253">
        <v>42</v>
      </c>
      <c r="S731" s="218">
        <v>1508.802764</v>
      </c>
      <c r="Y731" s="218">
        <v>555.74027249999995</v>
      </c>
      <c r="AA731" s="218">
        <v>66688.748049999995</v>
      </c>
      <c r="AC731" s="252">
        <v>30.042309800000002</v>
      </c>
      <c r="AG731" s="218">
        <v>4.5048543690000002</v>
      </c>
      <c r="AM731" s="218">
        <v>94</v>
      </c>
      <c r="BS731" s="218">
        <v>50.222595200000001</v>
      </c>
      <c r="BU731" s="218">
        <v>18.498586700000001</v>
      </c>
    </row>
    <row r="732" spans="1:73">
      <c r="A732" s="154" t="s">
        <v>7874</v>
      </c>
      <c r="B732" t="s">
        <v>257</v>
      </c>
      <c r="C732" t="s">
        <v>7988</v>
      </c>
      <c r="E732" s="113">
        <v>10</v>
      </c>
      <c r="F732" s="113">
        <v>25</v>
      </c>
      <c r="I732" s="253">
        <v>38</v>
      </c>
      <c r="S732" s="218">
        <v>1584.8173409999999</v>
      </c>
      <c r="Y732" s="218">
        <v>577.8019769</v>
      </c>
      <c r="AA732" s="218">
        <v>66059.295809999996</v>
      </c>
      <c r="AC732" s="252">
        <v>31.608290100000001</v>
      </c>
      <c r="AG732" s="218">
        <v>4.7848360660000004</v>
      </c>
      <c r="AM732" s="218">
        <v>92</v>
      </c>
      <c r="BS732" s="218">
        <v>50.139293700000003</v>
      </c>
      <c r="BU732" s="218">
        <v>18.280076999999999</v>
      </c>
    </row>
    <row r="733" spans="1:73">
      <c r="A733" s="154" t="s">
        <v>7874</v>
      </c>
      <c r="B733" t="s">
        <v>257</v>
      </c>
      <c r="C733" t="s">
        <v>7989</v>
      </c>
      <c r="E733" s="113">
        <v>15</v>
      </c>
      <c r="F733" s="113">
        <v>55</v>
      </c>
      <c r="I733" s="253">
        <v>42</v>
      </c>
      <c r="S733" s="218">
        <v>1744.261501</v>
      </c>
      <c r="Y733" s="218">
        <v>643.06254909999996</v>
      </c>
      <c r="AA733" s="218">
        <v>78607.683929999999</v>
      </c>
      <c r="AC733" s="252">
        <v>34.903601590000001</v>
      </c>
      <c r="AG733" s="218">
        <v>4.4402277039999998</v>
      </c>
      <c r="AM733" s="218">
        <v>94</v>
      </c>
      <c r="BS733" s="218">
        <v>49.973682400000001</v>
      </c>
      <c r="BU733" s="218">
        <v>18.423959700000001</v>
      </c>
    </row>
    <row r="734" spans="1:73">
      <c r="A734" s="154" t="s">
        <v>7874</v>
      </c>
      <c r="B734" t="s">
        <v>259</v>
      </c>
      <c r="C734" t="s">
        <v>405</v>
      </c>
      <c r="E734" s="113">
        <v>3</v>
      </c>
      <c r="F734" s="113">
        <v>64</v>
      </c>
      <c r="I734" s="253">
        <v>36</v>
      </c>
      <c r="S734" s="218">
        <v>1463.8615910000001</v>
      </c>
      <c r="Y734" s="218">
        <v>561.08296610000002</v>
      </c>
      <c r="AA734" s="218">
        <v>61381.034570000003</v>
      </c>
      <c r="AC734" s="252">
        <v>29.95687942</v>
      </c>
      <c r="AG734" s="218">
        <v>4.8804780880000003</v>
      </c>
      <c r="AM734" s="218">
        <v>101</v>
      </c>
      <c r="BS734" s="218">
        <v>48.865623499999998</v>
      </c>
      <c r="BU734" s="218">
        <v>18.729686699999998</v>
      </c>
    </row>
    <row r="735" spans="1:73">
      <c r="A735" s="154" t="s">
        <v>7874</v>
      </c>
      <c r="B735" t="s">
        <v>259</v>
      </c>
      <c r="C735" t="s">
        <v>7987</v>
      </c>
      <c r="E735" s="113">
        <v>8</v>
      </c>
      <c r="F735" s="113">
        <v>16</v>
      </c>
      <c r="I735" s="253">
        <v>40</v>
      </c>
      <c r="S735" s="218">
        <v>1455.8814420000001</v>
      </c>
      <c r="Y735" s="218">
        <v>603.7702213</v>
      </c>
      <c r="AA735" s="218">
        <v>66954.064240000007</v>
      </c>
      <c r="AC735" s="252">
        <v>30.224602109999999</v>
      </c>
      <c r="AG735" s="218">
        <v>4.5142296369999997</v>
      </c>
      <c r="AM735" s="218">
        <v>94</v>
      </c>
      <c r="BS735" s="218">
        <v>48.1687546</v>
      </c>
      <c r="BU735" s="218">
        <v>19.976118100000001</v>
      </c>
    </row>
    <row r="736" spans="1:73">
      <c r="A736" s="154" t="s">
        <v>7874</v>
      </c>
      <c r="B736" t="s">
        <v>259</v>
      </c>
      <c r="C736" t="s">
        <v>7988</v>
      </c>
      <c r="E736" s="113">
        <v>9</v>
      </c>
      <c r="F736" s="113">
        <v>52</v>
      </c>
      <c r="I736" s="253">
        <v>42</v>
      </c>
      <c r="S736" s="218">
        <v>1589.6169640000001</v>
      </c>
      <c r="Y736" s="218">
        <v>635.51188400000001</v>
      </c>
      <c r="AA736" s="218">
        <v>71399.947799999994</v>
      </c>
      <c r="AC736" s="252">
        <v>32.12296276</v>
      </c>
      <c r="AG736" s="218">
        <v>4.4990176819999999</v>
      </c>
      <c r="AM736" s="218">
        <v>99</v>
      </c>
      <c r="BS736" s="218">
        <v>49.485378300000001</v>
      </c>
      <c r="BU736" s="218">
        <v>19.783725700000002</v>
      </c>
    </row>
    <row r="737" spans="1:73">
      <c r="A737" s="154" t="s">
        <v>7874</v>
      </c>
      <c r="B737" t="s">
        <v>259</v>
      </c>
      <c r="C737" t="s">
        <v>7989</v>
      </c>
      <c r="E737" s="113">
        <v>15</v>
      </c>
      <c r="F737" s="113">
        <v>23</v>
      </c>
      <c r="I737" s="253">
        <v>38</v>
      </c>
      <c r="S737" s="218">
        <v>1603.8220200000001</v>
      </c>
      <c r="Y737" s="218">
        <v>716.28360499999997</v>
      </c>
      <c r="AA737" s="218">
        <v>74428.046919999993</v>
      </c>
      <c r="AC737" s="252">
        <v>33.445969009999999</v>
      </c>
      <c r="AG737" s="218">
        <v>4.493731919</v>
      </c>
      <c r="AM737" s="218">
        <v>99</v>
      </c>
      <c r="BS737" s="218">
        <v>47.952625300000001</v>
      </c>
      <c r="BU737" s="218">
        <v>21.416141499999998</v>
      </c>
    </row>
    <row r="738" spans="1:73">
      <c r="A738" s="154" t="s">
        <v>7787</v>
      </c>
      <c r="B738" t="s">
        <v>257</v>
      </c>
      <c r="C738" t="s">
        <v>405</v>
      </c>
      <c r="E738" s="113">
        <v>1</v>
      </c>
      <c r="F738" s="113">
        <v>8</v>
      </c>
      <c r="I738" s="253">
        <v>35</v>
      </c>
      <c r="S738" s="218">
        <v>1557.9693769999999</v>
      </c>
      <c r="Y738" s="218">
        <v>649.3078984</v>
      </c>
      <c r="AA738" s="218">
        <v>65697.817760000005</v>
      </c>
      <c r="AC738" s="252">
        <v>32.569937250000002</v>
      </c>
      <c r="AG738" s="218">
        <v>4.9575371549999998</v>
      </c>
      <c r="AM738" s="218">
        <v>94</v>
      </c>
      <c r="BS738" s="218">
        <v>47.834583299999998</v>
      </c>
      <c r="BU738" s="218">
        <v>19.935804399999999</v>
      </c>
    </row>
    <row r="739" spans="1:73">
      <c r="A739" s="154" t="s">
        <v>7787</v>
      </c>
      <c r="B739" t="s">
        <v>257</v>
      </c>
      <c r="C739" t="s">
        <v>7987</v>
      </c>
      <c r="E739" s="113">
        <v>7</v>
      </c>
      <c r="F739" s="113">
        <v>60</v>
      </c>
      <c r="I739" s="253">
        <v>31</v>
      </c>
      <c r="S739" s="218">
        <v>1518.189938</v>
      </c>
      <c r="Y739" s="218">
        <v>604.64940760000002</v>
      </c>
      <c r="AA739" s="218">
        <v>67400.657309999995</v>
      </c>
      <c r="AC739" s="252">
        <v>31.331831659999999</v>
      </c>
      <c r="AG739" s="218">
        <v>4.6485943780000003</v>
      </c>
      <c r="AM739" s="218">
        <v>92</v>
      </c>
      <c r="BS739" s="218">
        <v>48.455192599999997</v>
      </c>
      <c r="BU739" s="218">
        <v>19.2982464</v>
      </c>
    </row>
    <row r="740" spans="1:73">
      <c r="A740" s="154" t="s">
        <v>7787</v>
      </c>
      <c r="B740" t="s">
        <v>257</v>
      </c>
      <c r="C740" t="s">
        <v>7988</v>
      </c>
      <c r="E740" s="113">
        <v>12</v>
      </c>
      <c r="F740" s="113">
        <v>18</v>
      </c>
      <c r="I740" s="253">
        <v>35</v>
      </c>
      <c r="S740" s="218">
        <v>1523.774981</v>
      </c>
      <c r="Y740" s="218">
        <v>584.47960850000004</v>
      </c>
      <c r="AA740" s="218">
        <v>66057.154389999996</v>
      </c>
      <c r="AC740" s="252">
        <v>31.36184158</v>
      </c>
      <c r="AG740" s="218">
        <v>4.7476828009999998</v>
      </c>
      <c r="AM740" s="218">
        <v>92</v>
      </c>
      <c r="BS740" s="218">
        <v>48.586910199999998</v>
      </c>
      <c r="BU740" s="218">
        <v>18.6366482</v>
      </c>
    </row>
    <row r="741" spans="1:73">
      <c r="A741" s="154" t="s">
        <v>7787</v>
      </c>
      <c r="B741" t="s">
        <v>257</v>
      </c>
      <c r="C741" t="s">
        <v>7989</v>
      </c>
      <c r="E741" s="113">
        <v>15</v>
      </c>
      <c r="F741" s="113">
        <v>42</v>
      </c>
      <c r="I741" s="253">
        <v>39</v>
      </c>
      <c r="S741" s="218">
        <v>1564.9335530000001</v>
      </c>
      <c r="Y741" s="218">
        <v>594.91658589999997</v>
      </c>
      <c r="AA741" s="218">
        <v>66035.346489999996</v>
      </c>
      <c r="AC741" s="252">
        <v>31.82508443</v>
      </c>
      <c r="AG741" s="218">
        <v>4.8194014449999996</v>
      </c>
      <c r="AM741" s="218">
        <v>94</v>
      </c>
      <c r="BS741" s="218">
        <v>49.172958399999999</v>
      </c>
      <c r="BU741" s="218">
        <v>18.693323100000001</v>
      </c>
    </row>
    <row r="742" spans="1:73">
      <c r="A742" s="154" t="s">
        <v>7787</v>
      </c>
      <c r="B742" t="s">
        <v>259</v>
      </c>
      <c r="C742" t="s">
        <v>405</v>
      </c>
      <c r="E742" s="113">
        <v>2</v>
      </c>
      <c r="F742" s="113">
        <v>46</v>
      </c>
      <c r="I742" s="253">
        <v>37</v>
      </c>
      <c r="S742" s="218">
        <v>1651.457007</v>
      </c>
      <c r="Y742" s="218">
        <v>667.17686449999997</v>
      </c>
      <c r="AA742" s="218">
        <v>71912.657309999995</v>
      </c>
      <c r="AC742" s="252">
        <v>34.60232465</v>
      </c>
      <c r="AG742" s="218">
        <v>4.8117154810000002</v>
      </c>
      <c r="AM742" s="218">
        <v>92</v>
      </c>
      <c r="BS742" s="218">
        <v>47.726764699999997</v>
      </c>
      <c r="BU742" s="218">
        <v>19.281272900000001</v>
      </c>
    </row>
    <row r="743" spans="1:73">
      <c r="A743" s="154" t="s">
        <v>7787</v>
      </c>
      <c r="B743" t="s">
        <v>259</v>
      </c>
      <c r="C743" t="s">
        <v>7987</v>
      </c>
      <c r="E743" s="113">
        <v>6</v>
      </c>
      <c r="F743" s="113">
        <v>4</v>
      </c>
      <c r="I743" s="253">
        <v>33</v>
      </c>
      <c r="S743" s="218">
        <v>1794.8174059999999</v>
      </c>
      <c r="Y743" s="218">
        <v>738.71336329999997</v>
      </c>
      <c r="AA743" s="218">
        <v>76239.795679999996</v>
      </c>
      <c r="AC743" s="252">
        <v>37.30883618</v>
      </c>
      <c r="AG743" s="218">
        <v>4.8936170209999998</v>
      </c>
      <c r="AM743" s="218">
        <v>92</v>
      </c>
      <c r="BS743" s="218">
        <v>48.107032799999999</v>
      </c>
      <c r="BU743" s="218">
        <v>19.799957299999999</v>
      </c>
    </row>
    <row r="744" spans="1:73">
      <c r="A744" s="154" t="s">
        <v>7787</v>
      </c>
      <c r="B744" t="s">
        <v>259</v>
      </c>
      <c r="C744" t="s">
        <v>7988</v>
      </c>
      <c r="E744" s="113">
        <v>9</v>
      </c>
      <c r="F744" s="113">
        <v>37</v>
      </c>
      <c r="I744" s="253">
        <v>40</v>
      </c>
      <c r="S744" s="218">
        <v>1844.572868</v>
      </c>
      <c r="Y744" s="218">
        <v>726.35192410000002</v>
      </c>
      <c r="AA744" s="218">
        <v>80078.267160000003</v>
      </c>
      <c r="AC744" s="252">
        <v>38.183560970000002</v>
      </c>
      <c r="AG744" s="218">
        <v>4.7682801240000003</v>
      </c>
      <c r="AM744" s="218">
        <v>92</v>
      </c>
      <c r="BS744" s="218">
        <v>48.308036799999996</v>
      </c>
      <c r="BU744" s="218">
        <v>19.022634499999999</v>
      </c>
    </row>
    <row r="745" spans="1:73">
      <c r="A745" s="154" t="s">
        <v>7787</v>
      </c>
      <c r="B745" t="s">
        <v>259</v>
      </c>
      <c r="C745" t="s">
        <v>7989</v>
      </c>
      <c r="E745" s="113">
        <v>14</v>
      </c>
      <c r="F745" s="113">
        <v>31</v>
      </c>
      <c r="I745" s="253">
        <v>41</v>
      </c>
      <c r="S745" s="218">
        <v>1689.7769900000001</v>
      </c>
      <c r="Y745" s="218">
        <v>696.07710659999998</v>
      </c>
      <c r="AA745" s="218">
        <v>71094.545450000005</v>
      </c>
      <c r="AC745" s="252">
        <v>35.058262630000002</v>
      </c>
      <c r="AG745" s="218">
        <v>4.9312169309999998</v>
      </c>
      <c r="AM745" s="218">
        <v>92</v>
      </c>
      <c r="BS745" s="218">
        <v>48.199108099999997</v>
      </c>
      <c r="BU745" s="218">
        <v>19.854866000000001</v>
      </c>
    </row>
    <row r="746" spans="1:73">
      <c r="A746" s="154" t="s">
        <v>7788</v>
      </c>
      <c r="B746" t="s">
        <v>257</v>
      </c>
      <c r="C746" t="s">
        <v>405</v>
      </c>
      <c r="E746" s="113">
        <v>3</v>
      </c>
      <c r="F746" s="113">
        <v>30</v>
      </c>
      <c r="I746" s="253">
        <v>46</v>
      </c>
      <c r="S746" s="218">
        <v>1650.420826</v>
      </c>
      <c r="Y746" s="218">
        <v>544.18628669999998</v>
      </c>
      <c r="AA746" s="218">
        <v>73076.178790000005</v>
      </c>
      <c r="AC746" s="252">
        <v>32.35326491</v>
      </c>
      <c r="AG746" s="218">
        <v>4.4273339749999998</v>
      </c>
      <c r="AM746" s="218">
        <v>92</v>
      </c>
      <c r="BS746" s="218">
        <v>51.012496900000002</v>
      </c>
      <c r="BU746" s="218">
        <v>16.820135100000002</v>
      </c>
    </row>
    <row r="747" spans="1:73">
      <c r="A747" s="154" t="s">
        <v>7788</v>
      </c>
      <c r="B747" t="s">
        <v>257</v>
      </c>
      <c r="C747" t="s">
        <v>7987</v>
      </c>
      <c r="E747" s="113">
        <v>6</v>
      </c>
      <c r="F747" s="113">
        <v>41</v>
      </c>
      <c r="I747" s="253">
        <v>44</v>
      </c>
      <c r="S747" s="218">
        <v>1491.898692</v>
      </c>
      <c r="Y747" s="218">
        <v>563.9736054</v>
      </c>
      <c r="AA747" s="218">
        <v>64998.35643</v>
      </c>
      <c r="AC747" s="252">
        <v>29.964691460000001</v>
      </c>
      <c r="AG747" s="218">
        <v>4.6100691019999998</v>
      </c>
      <c r="AM747" s="218">
        <v>94</v>
      </c>
      <c r="BS747" s="218">
        <v>49.788555100000004</v>
      </c>
      <c r="BU747" s="218">
        <v>18.821271899999999</v>
      </c>
    </row>
    <row r="748" spans="1:73">
      <c r="A748" s="154" t="s">
        <v>7788</v>
      </c>
      <c r="B748" t="s">
        <v>257</v>
      </c>
      <c r="C748" t="s">
        <v>7988</v>
      </c>
      <c r="E748" s="113">
        <v>12</v>
      </c>
      <c r="F748" s="113">
        <v>5</v>
      </c>
      <c r="I748" s="253">
        <v>36</v>
      </c>
      <c r="S748" s="218">
        <v>1330.907451</v>
      </c>
      <c r="Y748" s="218">
        <v>493.97325510000002</v>
      </c>
      <c r="AA748" s="218">
        <v>58848.8226</v>
      </c>
      <c r="AC748" s="252">
        <v>26.71274987</v>
      </c>
      <c r="AG748" s="218">
        <v>4.5392156860000004</v>
      </c>
      <c r="AM748" s="218">
        <v>92</v>
      </c>
      <c r="BS748" s="218">
        <v>49.8229294</v>
      </c>
      <c r="BU748" s="218">
        <v>18.492040599999999</v>
      </c>
    </row>
    <row r="749" spans="1:73">
      <c r="A749" s="154" t="s">
        <v>7788</v>
      </c>
      <c r="B749" t="s">
        <v>257</v>
      </c>
      <c r="C749" t="s">
        <v>7989</v>
      </c>
      <c r="E749" s="113">
        <v>15</v>
      </c>
      <c r="F749" s="113">
        <v>59</v>
      </c>
      <c r="I749" s="253">
        <v>37</v>
      </c>
      <c r="S749" s="218">
        <v>1587.2709910000001</v>
      </c>
      <c r="Y749" s="218">
        <v>539.7397426</v>
      </c>
      <c r="AA749" s="218">
        <v>69997.192639999994</v>
      </c>
      <c r="AC749" s="252">
        <v>31.3641267</v>
      </c>
      <c r="AG749" s="218">
        <v>4.480769231</v>
      </c>
      <c r="AM749" s="218">
        <v>89</v>
      </c>
      <c r="BS749" s="218">
        <v>50.607849100000003</v>
      </c>
      <c r="BU749" s="218">
        <v>17.208824199999999</v>
      </c>
    </row>
    <row r="750" spans="1:73">
      <c r="A750" s="154" t="s">
        <v>7788</v>
      </c>
      <c r="B750" t="s">
        <v>259</v>
      </c>
      <c r="C750" t="s">
        <v>405</v>
      </c>
      <c r="E750" s="113">
        <v>4</v>
      </c>
      <c r="F750" s="113">
        <v>54</v>
      </c>
      <c r="I750" s="253">
        <v>43</v>
      </c>
      <c r="S750" s="218">
        <v>1526.082279</v>
      </c>
      <c r="Y750" s="218">
        <v>542.35828509999999</v>
      </c>
      <c r="AA750" s="218">
        <v>64641.717299999997</v>
      </c>
      <c r="AC750" s="252">
        <v>30.106221860000002</v>
      </c>
      <c r="AG750" s="218">
        <v>4.6573982129999996</v>
      </c>
      <c r="AM750" s="218">
        <v>92</v>
      </c>
      <c r="BS750" s="218">
        <v>50.689929999999997</v>
      </c>
      <c r="BU750" s="218">
        <v>18.0148239</v>
      </c>
    </row>
    <row r="751" spans="1:73">
      <c r="A751" s="154" t="s">
        <v>7788</v>
      </c>
      <c r="B751" t="s">
        <v>259</v>
      </c>
      <c r="C751" t="s">
        <v>7987</v>
      </c>
      <c r="E751" s="113">
        <v>6</v>
      </c>
      <c r="F751" s="113">
        <v>3</v>
      </c>
      <c r="I751" s="253">
        <v>41</v>
      </c>
      <c r="S751" s="218">
        <v>1849.6732280000001</v>
      </c>
      <c r="Y751" s="218">
        <v>669.56967789999999</v>
      </c>
      <c r="AA751" s="218">
        <v>79165.598159999994</v>
      </c>
      <c r="AC751" s="252">
        <v>36.727126200000001</v>
      </c>
      <c r="AG751" s="218">
        <v>4.6392785569999999</v>
      </c>
      <c r="AM751" s="218">
        <v>89</v>
      </c>
      <c r="BS751" s="218">
        <v>50.3625908</v>
      </c>
      <c r="BU751" s="218">
        <v>18.230930300000001</v>
      </c>
    </row>
    <row r="752" spans="1:73">
      <c r="A752" s="154" t="s">
        <v>7788</v>
      </c>
      <c r="B752" t="s">
        <v>259</v>
      </c>
      <c r="C752" t="s">
        <v>7988</v>
      </c>
      <c r="E752" s="113">
        <v>9</v>
      </c>
      <c r="F752" s="113">
        <v>55</v>
      </c>
      <c r="I752" s="253">
        <v>40</v>
      </c>
      <c r="S752" s="218">
        <v>1691.8324070000001</v>
      </c>
      <c r="Y752" s="218">
        <v>662.85299150000003</v>
      </c>
      <c r="AA752" s="218">
        <v>73542.083910000001</v>
      </c>
      <c r="AC752" s="252">
        <v>34.040333850000003</v>
      </c>
      <c r="AG752" s="218">
        <v>4.6286876909999997</v>
      </c>
      <c r="AM752" s="218">
        <v>94</v>
      </c>
      <c r="BS752" s="218">
        <v>49.700817100000002</v>
      </c>
      <c r="BU752" s="218">
        <v>19.472576100000001</v>
      </c>
    </row>
    <row r="753" spans="1:73">
      <c r="A753" s="154" t="s">
        <v>7788</v>
      </c>
      <c r="B753" t="s">
        <v>259</v>
      </c>
      <c r="C753" t="s">
        <v>7989</v>
      </c>
      <c r="E753" s="113">
        <v>16</v>
      </c>
      <c r="F753" s="113">
        <v>9</v>
      </c>
      <c r="I753" s="253">
        <v>36</v>
      </c>
      <c r="S753" s="218">
        <v>1365.9230299999999</v>
      </c>
      <c r="Y753" s="218">
        <v>518.79712159999997</v>
      </c>
      <c r="AA753" s="218">
        <v>59241.882310000001</v>
      </c>
      <c r="AC753" s="252">
        <v>27.67416545</v>
      </c>
      <c r="AG753" s="218">
        <v>4.6713852380000001</v>
      </c>
      <c r="AM753" s="218">
        <v>92</v>
      </c>
      <c r="BS753" s="218">
        <v>49.357334100000003</v>
      </c>
      <c r="BU753" s="218">
        <v>18.7466221</v>
      </c>
    </row>
    <row r="754" spans="1:73">
      <c r="A754" s="154" t="s">
        <v>7789</v>
      </c>
      <c r="B754" t="s">
        <v>257</v>
      </c>
      <c r="C754" t="s">
        <v>405</v>
      </c>
      <c r="E754" s="113">
        <v>4</v>
      </c>
      <c r="F754" s="113">
        <v>18</v>
      </c>
      <c r="I754" s="253">
        <v>31</v>
      </c>
      <c r="S754" s="218">
        <v>1700.61257</v>
      </c>
      <c r="Y754" s="218">
        <v>658.75391439999999</v>
      </c>
      <c r="AA754" s="218">
        <v>66033.473819999999</v>
      </c>
      <c r="AC754" s="252">
        <v>34.458677270000003</v>
      </c>
      <c r="AG754" s="218">
        <v>5.2183650620000002</v>
      </c>
      <c r="AM754" s="218">
        <v>89</v>
      </c>
      <c r="BS754" s="218">
        <v>49.3522301</v>
      </c>
      <c r="BU754" s="218">
        <v>19.117214199999999</v>
      </c>
    </row>
    <row r="755" spans="1:73">
      <c r="A755" s="154" t="s">
        <v>7789</v>
      </c>
      <c r="B755" t="s">
        <v>257</v>
      </c>
      <c r="C755" t="s">
        <v>7987</v>
      </c>
      <c r="E755" s="113">
        <v>8</v>
      </c>
      <c r="F755" s="113">
        <v>43</v>
      </c>
      <c r="I755" s="253">
        <v>33</v>
      </c>
      <c r="S755" s="218">
        <v>1583.511336</v>
      </c>
      <c r="Y755" s="218">
        <v>659.47893520000002</v>
      </c>
      <c r="AA755" s="218">
        <v>65379.90264</v>
      </c>
      <c r="AC755" s="252">
        <v>32.760101429999999</v>
      </c>
      <c r="AG755" s="218">
        <v>5.0107296139999997</v>
      </c>
      <c r="AM755" s="218">
        <v>89</v>
      </c>
      <c r="BS755" s="218">
        <v>48.336582200000002</v>
      </c>
      <c r="BU755" s="218">
        <v>20.130552300000002</v>
      </c>
    </row>
    <row r="756" spans="1:73">
      <c r="A756" s="154" t="s">
        <v>7789</v>
      </c>
      <c r="B756" t="s">
        <v>257</v>
      </c>
      <c r="C756" t="s">
        <v>7988</v>
      </c>
      <c r="E756" s="113">
        <v>12</v>
      </c>
      <c r="F756" s="113">
        <v>3</v>
      </c>
      <c r="I756" s="253">
        <v>34</v>
      </c>
      <c r="S756" s="218">
        <v>1533.856194</v>
      </c>
      <c r="Y756" s="218">
        <v>614.43658840000001</v>
      </c>
      <c r="AA756" s="218">
        <v>61320.107389999997</v>
      </c>
      <c r="AC756" s="252">
        <v>31.16711081</v>
      </c>
      <c r="AG756" s="218">
        <v>5.0826901869999999</v>
      </c>
      <c r="AM756" s="218">
        <v>89</v>
      </c>
      <c r="BS756" s="218">
        <v>49.213935900000003</v>
      </c>
      <c r="BU756" s="218">
        <v>19.714262000000002</v>
      </c>
    </row>
    <row r="757" spans="1:73">
      <c r="A757" s="154" t="s">
        <v>7789</v>
      </c>
      <c r="B757" t="s">
        <v>257</v>
      </c>
      <c r="C757" t="s">
        <v>7989</v>
      </c>
      <c r="E757" s="113">
        <v>16</v>
      </c>
      <c r="F757" s="113">
        <v>48</v>
      </c>
      <c r="I757" s="253">
        <v>39</v>
      </c>
      <c r="S757" s="218">
        <v>1709.402237</v>
      </c>
      <c r="Y757" s="218">
        <v>654.40897580000001</v>
      </c>
      <c r="AA757" s="218">
        <v>70246.174169999998</v>
      </c>
      <c r="AC757" s="252">
        <v>34.457597010000001</v>
      </c>
      <c r="AG757" s="218">
        <v>4.9052631580000003</v>
      </c>
      <c r="AM757" s="218">
        <v>89</v>
      </c>
      <c r="BS757" s="218">
        <v>49.608863800000002</v>
      </c>
      <c r="BU757" s="218">
        <v>18.991718299999999</v>
      </c>
    </row>
    <row r="758" spans="1:73">
      <c r="A758" s="154" t="s">
        <v>7789</v>
      </c>
      <c r="B758" t="s">
        <v>259</v>
      </c>
      <c r="C758" t="s">
        <v>405</v>
      </c>
      <c r="E758" s="113">
        <v>3</v>
      </c>
      <c r="F758" s="113">
        <v>57</v>
      </c>
      <c r="I758" s="253">
        <v>32</v>
      </c>
      <c r="S758" s="218">
        <v>1859.397565</v>
      </c>
      <c r="Y758" s="218">
        <v>640.93968689999997</v>
      </c>
      <c r="AA758" s="218">
        <v>70634.580669999996</v>
      </c>
      <c r="AC758" s="252">
        <v>36.017412829999998</v>
      </c>
      <c r="AG758" s="218">
        <v>5.0991189429999997</v>
      </c>
      <c r="AM758" s="218">
        <v>89</v>
      </c>
      <c r="BS758" s="218">
        <v>51.624961900000002</v>
      </c>
      <c r="BU758" s="218">
        <v>17.795272799999999</v>
      </c>
    </row>
    <row r="759" spans="1:73">
      <c r="A759" s="154" t="s">
        <v>7789</v>
      </c>
      <c r="B759" t="s">
        <v>259</v>
      </c>
      <c r="C759" t="s">
        <v>7987</v>
      </c>
      <c r="E759" s="113">
        <v>5</v>
      </c>
      <c r="F759" s="113">
        <v>27</v>
      </c>
      <c r="I759" s="253">
        <v>35</v>
      </c>
      <c r="S759" s="218">
        <v>1898.1163630000001</v>
      </c>
      <c r="Y759" s="218">
        <v>768.92109679999999</v>
      </c>
      <c r="AA759" s="218">
        <v>72762.22971</v>
      </c>
      <c r="AC759" s="252">
        <v>39.108649419999999</v>
      </c>
      <c r="AG759" s="218">
        <v>5.374855825</v>
      </c>
      <c r="AM759" s="218">
        <v>87</v>
      </c>
      <c r="BS759" s="218">
        <v>48.5344391</v>
      </c>
      <c r="BU759" s="218">
        <v>19.6611519</v>
      </c>
    </row>
    <row r="760" spans="1:73">
      <c r="A760" s="154" t="s">
        <v>7789</v>
      </c>
      <c r="B760" t="s">
        <v>259</v>
      </c>
      <c r="C760" t="s">
        <v>7988</v>
      </c>
      <c r="E760" s="113">
        <v>11</v>
      </c>
      <c r="F760" s="113">
        <v>46</v>
      </c>
      <c r="I760" s="253">
        <v>39</v>
      </c>
      <c r="S760" s="218">
        <v>1703.159306</v>
      </c>
      <c r="Y760" s="218">
        <v>686.15042059999996</v>
      </c>
      <c r="AA760" s="218">
        <v>71520.990850000002</v>
      </c>
      <c r="AC760" s="252">
        <v>34.713116900000003</v>
      </c>
      <c r="AG760" s="218">
        <v>4.8535564850000004</v>
      </c>
      <c r="AM760" s="218">
        <v>89</v>
      </c>
      <c r="BS760" s="218">
        <v>49.063854200000002</v>
      </c>
      <c r="BU760" s="218">
        <v>19.766315500000001</v>
      </c>
    </row>
    <row r="761" spans="1:73">
      <c r="A761" s="154" t="s">
        <v>7789</v>
      </c>
      <c r="B761" t="s">
        <v>259</v>
      </c>
      <c r="C761" t="s">
        <v>7989</v>
      </c>
      <c r="E761" s="113">
        <v>14</v>
      </c>
      <c r="F761" s="113">
        <v>14</v>
      </c>
      <c r="I761" s="253">
        <v>33</v>
      </c>
      <c r="S761" s="218" t="s">
        <v>7956</v>
      </c>
      <c r="Y761" s="218" t="s">
        <v>7956</v>
      </c>
      <c r="AA761" s="218" t="s">
        <v>7956</v>
      </c>
      <c r="AC761" s="252" t="s">
        <v>7956</v>
      </c>
      <c r="AG761" s="218" t="s">
        <v>7956</v>
      </c>
      <c r="AM761" s="218">
        <v>87</v>
      </c>
      <c r="BS761" s="218" t="s">
        <v>7956</v>
      </c>
      <c r="BU761" s="218" t="s">
        <v>7956</v>
      </c>
    </row>
    <row r="762" spans="1:73">
      <c r="A762" s="154" t="s">
        <v>7875</v>
      </c>
      <c r="B762" t="s">
        <v>257</v>
      </c>
      <c r="C762" t="s">
        <v>405</v>
      </c>
      <c r="E762" s="113">
        <v>2</v>
      </c>
      <c r="F762" s="113">
        <v>5</v>
      </c>
      <c r="I762" s="253">
        <v>40</v>
      </c>
      <c r="S762" s="218">
        <v>2174.416123</v>
      </c>
      <c r="Y762" s="218">
        <v>718.41957930000001</v>
      </c>
      <c r="AA762" s="218">
        <v>92981.815539999996</v>
      </c>
      <c r="AC762" s="252">
        <v>42.122325930000002</v>
      </c>
      <c r="AG762" s="218">
        <v>4.5301681499999997</v>
      </c>
      <c r="AM762" s="218">
        <v>99</v>
      </c>
      <c r="BS762" s="218">
        <v>51.621463800000001</v>
      </c>
      <c r="BU762" s="218">
        <v>17.055553400000001</v>
      </c>
    </row>
    <row r="763" spans="1:73">
      <c r="A763" s="154" t="s">
        <v>7875</v>
      </c>
      <c r="B763" t="s">
        <v>257</v>
      </c>
      <c r="C763" t="s">
        <v>7987</v>
      </c>
      <c r="E763" s="113">
        <v>8</v>
      </c>
      <c r="F763" s="113">
        <v>62</v>
      </c>
      <c r="I763" s="253">
        <v>46</v>
      </c>
      <c r="S763" s="218">
        <v>2089.16732</v>
      </c>
      <c r="Y763" s="218">
        <v>713.42461290000006</v>
      </c>
      <c r="AA763" s="218">
        <v>89242.741779999997</v>
      </c>
      <c r="AC763" s="252">
        <v>40.826591550000003</v>
      </c>
      <c r="AG763" s="218">
        <v>4.5747800590000001</v>
      </c>
      <c r="AM763" s="218">
        <v>99</v>
      </c>
      <c r="BS763" s="218">
        <v>51.171729999999997</v>
      </c>
      <c r="BU763" s="218">
        <v>17.4745083</v>
      </c>
    </row>
    <row r="764" spans="1:73">
      <c r="A764" s="154" t="s">
        <v>7875</v>
      </c>
      <c r="B764" t="s">
        <v>257</v>
      </c>
      <c r="C764" t="s">
        <v>7988</v>
      </c>
      <c r="E764" s="113">
        <v>12</v>
      </c>
      <c r="F764" s="113">
        <v>25</v>
      </c>
      <c r="I764" s="253">
        <v>41</v>
      </c>
      <c r="S764" s="218">
        <v>1949.7321770000001</v>
      </c>
      <c r="Y764" s="218">
        <v>691.47060939999994</v>
      </c>
      <c r="AA764" s="218">
        <v>82375.411749999999</v>
      </c>
      <c r="AC764" s="252">
        <v>38.358016159999998</v>
      </c>
      <c r="AG764" s="218">
        <v>4.6564885499999997</v>
      </c>
      <c r="AM764" s="218">
        <v>94</v>
      </c>
      <c r="BS764" s="218">
        <v>50.829849199999998</v>
      </c>
      <c r="BU764" s="218">
        <v>18.026756299999999</v>
      </c>
    </row>
    <row r="765" spans="1:73">
      <c r="A765" s="154" t="s">
        <v>7875</v>
      </c>
      <c r="B765" t="s">
        <v>257</v>
      </c>
      <c r="C765" t="s">
        <v>7989</v>
      </c>
      <c r="E765" s="113">
        <v>16</v>
      </c>
      <c r="F765" s="113">
        <v>35</v>
      </c>
      <c r="I765" s="253">
        <v>36</v>
      </c>
      <c r="S765" s="218">
        <v>1942.077532</v>
      </c>
      <c r="Y765" s="218">
        <v>694.70433219999995</v>
      </c>
      <c r="AA765" s="218">
        <v>82773.155559999999</v>
      </c>
      <c r="AC765" s="252">
        <v>38.605333330000001</v>
      </c>
      <c r="AG765" s="218">
        <v>4.6639919760000002</v>
      </c>
      <c r="AM765" s="218">
        <v>94</v>
      </c>
      <c r="BS765" s="218">
        <v>50.305938699999999</v>
      </c>
      <c r="BU765" s="218">
        <v>17.9950352</v>
      </c>
    </row>
    <row r="766" spans="1:73">
      <c r="A766" s="154" t="s">
        <v>7875</v>
      </c>
      <c r="B766" t="s">
        <v>259</v>
      </c>
      <c r="C766" t="s">
        <v>405</v>
      </c>
      <c r="E766" s="113">
        <v>3</v>
      </c>
      <c r="F766" s="113">
        <v>39</v>
      </c>
      <c r="I766" s="253">
        <v>44</v>
      </c>
      <c r="S766" s="218">
        <v>2008.674119</v>
      </c>
      <c r="Y766" s="218">
        <v>713.38193669999998</v>
      </c>
      <c r="AA766" s="218">
        <v>86014.464189999999</v>
      </c>
      <c r="AC766" s="252">
        <v>39.458501740000003</v>
      </c>
      <c r="AG766" s="218">
        <v>4.5874263260000001</v>
      </c>
      <c r="AM766" s="218">
        <v>101</v>
      </c>
      <c r="BS766" s="218">
        <v>50.905990600000003</v>
      </c>
      <c r="BU766" s="218">
        <v>18.079296100000001</v>
      </c>
    </row>
    <row r="767" spans="1:73">
      <c r="A767" s="154" t="s">
        <v>7875</v>
      </c>
      <c r="B767" t="s">
        <v>259</v>
      </c>
      <c r="C767" t="s">
        <v>7987</v>
      </c>
      <c r="E767" s="113">
        <v>5</v>
      </c>
      <c r="F767" s="113">
        <v>30</v>
      </c>
      <c r="I767" s="253">
        <v>35</v>
      </c>
      <c r="S767" s="218">
        <v>2107.1335490000001</v>
      </c>
      <c r="Y767" s="218">
        <v>718.99587159999999</v>
      </c>
      <c r="AA767" s="218">
        <v>88200.356979999997</v>
      </c>
      <c r="AC767" s="252">
        <v>41.148418290000002</v>
      </c>
      <c r="AG767" s="218">
        <v>4.6653346649999996</v>
      </c>
      <c r="AM767" s="218">
        <v>94</v>
      </c>
      <c r="BS767" s="218">
        <v>51.208129900000003</v>
      </c>
      <c r="BU767" s="218">
        <v>17.473232299999999</v>
      </c>
    </row>
    <row r="768" spans="1:73">
      <c r="A768" s="154" t="s">
        <v>7875</v>
      </c>
      <c r="B768" t="s">
        <v>259</v>
      </c>
      <c r="C768" t="s">
        <v>7988</v>
      </c>
      <c r="E768" s="113">
        <v>10</v>
      </c>
      <c r="F768" s="113">
        <v>48</v>
      </c>
      <c r="I768" s="253">
        <v>40</v>
      </c>
      <c r="S768" s="218">
        <v>2075.4673710000002</v>
      </c>
      <c r="Y768" s="218">
        <v>699.99613509999995</v>
      </c>
      <c r="AA768" s="218">
        <v>86027.304120000001</v>
      </c>
      <c r="AC768" s="252">
        <v>40.23297152</v>
      </c>
      <c r="AG768" s="218">
        <v>4.676767677</v>
      </c>
      <c r="AM768" s="218">
        <v>99</v>
      </c>
      <c r="BS768" s="218">
        <v>51.5862312</v>
      </c>
      <c r="BU768" s="218">
        <v>17.3985691</v>
      </c>
    </row>
    <row r="769" spans="1:73">
      <c r="A769" s="154" t="s">
        <v>7875</v>
      </c>
      <c r="B769" t="s">
        <v>259</v>
      </c>
      <c r="C769" t="s">
        <v>7989</v>
      </c>
      <c r="E769" s="113">
        <v>14</v>
      </c>
      <c r="F769" s="113">
        <v>16</v>
      </c>
      <c r="I769" s="253">
        <v>37</v>
      </c>
      <c r="S769" s="218">
        <v>2072.32098</v>
      </c>
      <c r="Y769" s="218">
        <v>737.92585889999998</v>
      </c>
      <c r="AA769" s="218">
        <v>88260.580759999997</v>
      </c>
      <c r="AC769" s="252">
        <v>40.675094209999997</v>
      </c>
      <c r="AG769" s="218">
        <v>4.6085232899999999</v>
      </c>
      <c r="AM769" s="218">
        <v>94</v>
      </c>
      <c r="BS769" s="218">
        <v>50.9481544</v>
      </c>
      <c r="BU769" s="218">
        <v>18.141958200000001</v>
      </c>
    </row>
    <row r="770" spans="1:73">
      <c r="A770" s="154" t="s">
        <v>7852</v>
      </c>
      <c r="B770" t="s">
        <v>257</v>
      </c>
      <c r="C770" t="s">
        <v>405</v>
      </c>
      <c r="E770" s="113">
        <v>1</v>
      </c>
      <c r="F770" s="113">
        <v>13</v>
      </c>
      <c r="I770" s="253">
        <v>33</v>
      </c>
      <c r="S770" s="218">
        <v>1201.4010089999999</v>
      </c>
      <c r="Y770" s="218">
        <v>409.03465369999998</v>
      </c>
      <c r="AA770" s="218">
        <v>51673.977489999997</v>
      </c>
      <c r="AC770" s="252">
        <v>23.53468282</v>
      </c>
      <c r="AG770" s="218">
        <v>4.5544554460000004</v>
      </c>
      <c r="AM770" s="218">
        <v>83</v>
      </c>
      <c r="BS770" s="218">
        <v>51.048107100000003</v>
      </c>
      <c r="BU770" s="218">
        <v>17.380079299999998</v>
      </c>
    </row>
    <row r="771" spans="1:73">
      <c r="A771" s="154" t="s">
        <v>7852</v>
      </c>
      <c r="B771" t="s">
        <v>257</v>
      </c>
      <c r="C771" t="s">
        <v>7987</v>
      </c>
      <c r="E771" s="113">
        <v>5</v>
      </c>
      <c r="F771" s="113">
        <v>39</v>
      </c>
      <c r="I771" s="253">
        <v>33</v>
      </c>
      <c r="S771" s="218">
        <v>1861.5850089999999</v>
      </c>
      <c r="Y771" s="218">
        <v>646.65616820000002</v>
      </c>
      <c r="AA771" s="218">
        <v>80601.953540000002</v>
      </c>
      <c r="AC771" s="252">
        <v>35.892447850000003</v>
      </c>
      <c r="AG771" s="218">
        <v>4.4530493709999996</v>
      </c>
      <c r="AM771" s="218">
        <v>87</v>
      </c>
      <c r="BS771" s="218">
        <v>51.865646400000003</v>
      </c>
      <c r="BU771" s="218">
        <v>18.016496700000001</v>
      </c>
    </row>
    <row r="772" spans="1:73">
      <c r="A772" s="154" t="s">
        <v>7852</v>
      </c>
      <c r="B772" t="s">
        <v>257</v>
      </c>
      <c r="C772" t="s">
        <v>7988</v>
      </c>
      <c r="E772" s="113">
        <v>9</v>
      </c>
      <c r="F772" s="113">
        <v>11</v>
      </c>
      <c r="I772" s="253">
        <v>30</v>
      </c>
      <c r="S772" s="218">
        <v>1639.095262</v>
      </c>
      <c r="Y772" s="218">
        <v>588.56309950000002</v>
      </c>
      <c r="AA772" s="218">
        <v>67766.585640000005</v>
      </c>
      <c r="AC772" s="252">
        <v>32.346318709999998</v>
      </c>
      <c r="AG772" s="218">
        <v>4.7731958759999999</v>
      </c>
      <c r="AM772" s="218">
        <v>81</v>
      </c>
      <c r="BS772" s="218">
        <v>50.673316999999997</v>
      </c>
      <c r="BU772" s="218">
        <v>18.1956749</v>
      </c>
    </row>
    <row r="773" spans="1:73">
      <c r="A773" s="154" t="s">
        <v>7852</v>
      </c>
      <c r="B773" t="s">
        <v>257</v>
      </c>
      <c r="C773" t="s">
        <v>7989</v>
      </c>
      <c r="E773" s="113">
        <v>13</v>
      </c>
      <c r="F773" s="113">
        <v>37</v>
      </c>
      <c r="I773" s="253">
        <v>34</v>
      </c>
      <c r="S773" s="218">
        <v>1720.6223359999999</v>
      </c>
      <c r="Y773" s="218">
        <v>619.26200129999995</v>
      </c>
      <c r="AA773" s="218">
        <v>76621.716570000004</v>
      </c>
      <c r="AC773" s="252">
        <v>33.79512974</v>
      </c>
      <c r="AG773" s="218">
        <v>4.410646388</v>
      </c>
      <c r="AM773" s="218">
        <v>87</v>
      </c>
      <c r="BS773" s="218">
        <v>50.913322399999998</v>
      </c>
      <c r="BU773" s="218">
        <v>18.324001299999999</v>
      </c>
    </row>
    <row r="774" spans="1:73">
      <c r="A774" s="154" t="s">
        <v>7852</v>
      </c>
      <c r="B774" t="s">
        <v>259</v>
      </c>
      <c r="C774" t="s">
        <v>405</v>
      </c>
      <c r="E774" s="113">
        <v>3</v>
      </c>
      <c r="F774" s="113">
        <v>63</v>
      </c>
      <c r="I774" s="253">
        <v>38</v>
      </c>
      <c r="S774" s="218">
        <v>1914.56214</v>
      </c>
      <c r="Y774" s="218">
        <v>636.27564589999997</v>
      </c>
      <c r="AA774" s="218">
        <v>80861.189530000003</v>
      </c>
      <c r="AC774" s="252">
        <v>36.949291109999997</v>
      </c>
      <c r="AG774" s="218">
        <v>4.5694716240000002</v>
      </c>
      <c r="AM774" s="218">
        <v>87</v>
      </c>
      <c r="BS774" s="218">
        <v>51.815936999999998</v>
      </c>
      <c r="BU774" s="218">
        <v>17.220239599999999</v>
      </c>
    </row>
    <row r="775" spans="1:73">
      <c r="A775" s="154" t="s">
        <v>7852</v>
      </c>
      <c r="B775" t="s">
        <v>259</v>
      </c>
      <c r="C775" t="s">
        <v>7987</v>
      </c>
      <c r="E775" s="113">
        <v>6</v>
      </c>
      <c r="F775" s="113">
        <v>19</v>
      </c>
      <c r="I775" s="253">
        <v>41</v>
      </c>
      <c r="S775" s="218">
        <v>1604.202227</v>
      </c>
      <c r="Y775" s="218">
        <v>623.32623720000004</v>
      </c>
      <c r="AA775" s="218">
        <v>69777.794370000003</v>
      </c>
      <c r="AC775" s="252">
        <v>32.371862520000001</v>
      </c>
      <c r="AG775" s="218">
        <v>4.6392785569999999</v>
      </c>
      <c r="AM775" s="218">
        <v>83</v>
      </c>
      <c r="BS775" s="218">
        <v>49.555450399999998</v>
      </c>
      <c r="BU775" s="218">
        <v>19.2551861</v>
      </c>
    </row>
    <row r="776" spans="1:73">
      <c r="A776" s="154" t="s">
        <v>7852</v>
      </c>
      <c r="B776" t="s">
        <v>259</v>
      </c>
      <c r="C776" t="s">
        <v>7988</v>
      </c>
      <c r="E776" s="113">
        <v>9</v>
      </c>
      <c r="F776" s="113">
        <v>36</v>
      </c>
      <c r="I776" s="253">
        <v>39</v>
      </c>
      <c r="S776" s="218">
        <v>1851.4543639999999</v>
      </c>
      <c r="Y776" s="218">
        <v>619.70247259999996</v>
      </c>
      <c r="AA776" s="218">
        <v>79751.040760000004</v>
      </c>
      <c r="AC776" s="252">
        <v>36.343240029999997</v>
      </c>
      <c r="AG776" s="218">
        <v>4.5570866140000001</v>
      </c>
      <c r="AM776" s="218">
        <v>89</v>
      </c>
      <c r="BS776" s="218">
        <v>50.943569199999999</v>
      </c>
      <c r="BU776" s="218">
        <v>17.051382100000001</v>
      </c>
    </row>
    <row r="777" spans="1:73">
      <c r="A777" s="154" t="s">
        <v>7852</v>
      </c>
      <c r="B777" t="s">
        <v>259</v>
      </c>
      <c r="C777" t="s">
        <v>7989</v>
      </c>
      <c r="E777" s="113">
        <v>14</v>
      </c>
      <c r="F777" s="113">
        <v>8</v>
      </c>
      <c r="I777" s="253">
        <v>23</v>
      </c>
      <c r="S777" s="218">
        <v>1387.76972</v>
      </c>
      <c r="Y777" s="218">
        <v>518.26764790000004</v>
      </c>
      <c r="AA777" s="218">
        <v>60744.336669999997</v>
      </c>
      <c r="AC777" s="252">
        <v>27.731110220000001</v>
      </c>
      <c r="AG777" s="218">
        <v>4.565217391</v>
      </c>
      <c r="AM777" s="218">
        <v>87</v>
      </c>
      <c r="BS777" s="218">
        <v>50.043785100000001</v>
      </c>
      <c r="BU777" s="218">
        <v>18.689033500000001</v>
      </c>
    </row>
    <row r="778" spans="1:73">
      <c r="A778" s="154" t="s">
        <v>7876</v>
      </c>
      <c r="B778" t="s">
        <v>257</v>
      </c>
      <c r="C778" t="s">
        <v>405</v>
      </c>
      <c r="E778" s="113">
        <v>4</v>
      </c>
      <c r="F778" s="113">
        <v>6</v>
      </c>
      <c r="I778" s="253">
        <v>37</v>
      </c>
      <c r="S778" s="218">
        <v>1406.1031599999999</v>
      </c>
      <c r="Y778" s="218">
        <v>560.2612044</v>
      </c>
      <c r="AA778" s="218">
        <v>60995.187250000003</v>
      </c>
      <c r="AC778" s="252">
        <v>28.217115540000002</v>
      </c>
      <c r="AG778" s="218">
        <v>4.6261216349999996</v>
      </c>
      <c r="AM778" s="218">
        <v>101</v>
      </c>
      <c r="BS778" s="218">
        <v>49.831569700000003</v>
      </c>
      <c r="BU778" s="218">
        <v>19.855367699999999</v>
      </c>
    </row>
    <row r="779" spans="1:73">
      <c r="A779" s="154" t="s">
        <v>7876</v>
      </c>
      <c r="B779" t="s">
        <v>257</v>
      </c>
      <c r="C779" t="s">
        <v>7987</v>
      </c>
      <c r="E779" s="113">
        <v>6</v>
      </c>
      <c r="F779" s="113">
        <v>45</v>
      </c>
      <c r="I779" s="253">
        <v>42</v>
      </c>
      <c r="S779" s="218">
        <v>1561.9210559999999</v>
      </c>
      <c r="Y779" s="218">
        <v>556.3181376</v>
      </c>
      <c r="AA779" s="218">
        <v>73211.690239999996</v>
      </c>
      <c r="AC779" s="252">
        <v>30.786801350000001</v>
      </c>
      <c r="AG779" s="218">
        <v>4.2051756009999997</v>
      </c>
      <c r="AM779" s="218">
        <v>101</v>
      </c>
      <c r="BS779" s="218">
        <v>50.733463299999997</v>
      </c>
      <c r="BU779" s="218">
        <v>18.070020700000001</v>
      </c>
    </row>
    <row r="780" spans="1:73">
      <c r="A780" s="154" t="s">
        <v>7876</v>
      </c>
      <c r="B780" t="s">
        <v>257</v>
      </c>
      <c r="C780" t="s">
        <v>7988</v>
      </c>
      <c r="E780" s="113">
        <v>11</v>
      </c>
      <c r="F780" s="113">
        <v>10</v>
      </c>
      <c r="I780" s="253">
        <v>29</v>
      </c>
      <c r="S780" s="218">
        <v>1310.281502</v>
      </c>
      <c r="Y780" s="218">
        <v>485.30337800000001</v>
      </c>
      <c r="AA780" s="218">
        <v>57725.30586</v>
      </c>
      <c r="AC780" s="252">
        <v>26.060453620000001</v>
      </c>
      <c r="AG780" s="218">
        <v>4.5145631069999999</v>
      </c>
      <c r="AM780" s="218">
        <v>99</v>
      </c>
      <c r="BS780" s="218">
        <v>50.278537800000002</v>
      </c>
      <c r="BU780" s="218">
        <v>18.622215300000001</v>
      </c>
    </row>
    <row r="781" spans="1:73">
      <c r="A781" s="154" t="s">
        <v>7876</v>
      </c>
      <c r="B781" t="s">
        <v>257</v>
      </c>
      <c r="C781" t="s">
        <v>7989</v>
      </c>
      <c r="E781" s="113">
        <v>14</v>
      </c>
      <c r="F781" s="113">
        <v>36</v>
      </c>
      <c r="I781" s="253">
        <v>36</v>
      </c>
      <c r="S781" s="218">
        <v>1527.0488780000001</v>
      </c>
      <c r="Y781" s="218">
        <v>557.99794910000003</v>
      </c>
      <c r="AA781" s="218">
        <v>67251.902230000007</v>
      </c>
      <c r="AC781" s="252">
        <v>30.011645430000002</v>
      </c>
      <c r="AG781" s="218">
        <v>4.4625719769999996</v>
      </c>
      <c r="AM781" s="218">
        <v>101</v>
      </c>
      <c r="BS781" s="218">
        <v>50.881877899999999</v>
      </c>
      <c r="BU781" s="218">
        <v>18.592714300000001</v>
      </c>
    </row>
    <row r="782" spans="1:73">
      <c r="A782" s="154" t="s">
        <v>7876</v>
      </c>
      <c r="B782" t="s">
        <v>259</v>
      </c>
      <c r="C782" t="s">
        <v>405</v>
      </c>
      <c r="E782" s="113">
        <v>4</v>
      </c>
      <c r="F782" s="113">
        <v>56</v>
      </c>
      <c r="I782" s="253">
        <v>42</v>
      </c>
      <c r="S782" s="218">
        <v>1688.7647939999999</v>
      </c>
      <c r="Y782" s="218">
        <v>682.30216350000001</v>
      </c>
      <c r="AA782" s="218">
        <v>76382.688169999994</v>
      </c>
      <c r="AC782" s="252">
        <v>34.524086019999999</v>
      </c>
      <c r="AG782" s="218">
        <v>4.5198836079999998</v>
      </c>
      <c r="AM782" s="218">
        <v>105</v>
      </c>
      <c r="BS782" s="218">
        <v>48.915554</v>
      </c>
      <c r="BU782" s="218">
        <v>19.7630768</v>
      </c>
    </row>
    <row r="783" spans="1:73">
      <c r="A783" s="154" t="s">
        <v>7876</v>
      </c>
      <c r="B783" t="s">
        <v>259</v>
      </c>
      <c r="C783" t="s">
        <v>7987</v>
      </c>
      <c r="E783" s="113">
        <v>5</v>
      </c>
      <c r="F783" s="113">
        <v>29</v>
      </c>
      <c r="I783" s="253">
        <v>36</v>
      </c>
      <c r="S783" s="218">
        <v>1793.5246850000001</v>
      </c>
      <c r="Y783" s="218">
        <v>703.89380219999998</v>
      </c>
      <c r="AA783" s="218">
        <v>79446.302339999995</v>
      </c>
      <c r="AC783" s="252">
        <v>36.231858580000001</v>
      </c>
      <c r="AG783" s="218">
        <v>4.560546875</v>
      </c>
      <c r="AM783" s="218">
        <v>101</v>
      </c>
      <c r="BS783" s="218">
        <v>49.501316099999997</v>
      </c>
      <c r="BU783" s="218">
        <v>19.427482600000001</v>
      </c>
    </row>
    <row r="784" spans="1:73">
      <c r="A784" s="154" t="s">
        <v>7876</v>
      </c>
      <c r="B784" t="s">
        <v>259</v>
      </c>
      <c r="C784" t="s">
        <v>7988</v>
      </c>
      <c r="E784" s="113">
        <v>10</v>
      </c>
      <c r="F784" s="113">
        <v>47</v>
      </c>
      <c r="I784" s="253">
        <v>42</v>
      </c>
      <c r="S784" s="218">
        <v>1606.019485</v>
      </c>
      <c r="Y784" s="218">
        <v>608.74540049999996</v>
      </c>
      <c r="AA784" s="218">
        <v>72313.226569999999</v>
      </c>
      <c r="AC784" s="252">
        <v>31.993958469999999</v>
      </c>
      <c r="AG784" s="218">
        <v>4.4243577549999999</v>
      </c>
      <c r="AM784" s="218">
        <v>101</v>
      </c>
      <c r="BS784" s="218">
        <v>50.197586100000002</v>
      </c>
      <c r="BU784" s="218">
        <v>19.026886000000001</v>
      </c>
    </row>
    <row r="785" spans="1:73">
      <c r="A785" s="154" t="s">
        <v>7876</v>
      </c>
      <c r="B785" t="s">
        <v>259</v>
      </c>
      <c r="C785" t="s">
        <v>7989</v>
      </c>
      <c r="E785" s="113">
        <v>13</v>
      </c>
      <c r="F785" s="113">
        <v>31</v>
      </c>
      <c r="I785" s="253">
        <v>35</v>
      </c>
      <c r="S785" s="218">
        <v>1618.755263</v>
      </c>
      <c r="Y785" s="218">
        <v>679.50364420000005</v>
      </c>
      <c r="AA785" s="218">
        <v>73762.814339999997</v>
      </c>
      <c r="AC785" s="252">
        <v>33.214834529999997</v>
      </c>
      <c r="AG785" s="218">
        <v>4.502923977</v>
      </c>
      <c r="AM785" s="218">
        <v>101</v>
      </c>
      <c r="BS785" s="218">
        <v>48.735912300000003</v>
      </c>
      <c r="BU785" s="218">
        <v>20.457836199999999</v>
      </c>
    </row>
    <row r="786" spans="1:73">
      <c r="A786" s="154" t="s">
        <v>7790</v>
      </c>
      <c r="B786" t="s">
        <v>257</v>
      </c>
      <c r="C786" t="s">
        <v>405</v>
      </c>
      <c r="E786" s="113">
        <v>2</v>
      </c>
      <c r="F786" s="113">
        <v>24</v>
      </c>
      <c r="I786" s="253">
        <v>40</v>
      </c>
      <c r="S786" s="218">
        <v>1643.670793</v>
      </c>
      <c r="Y786" s="218">
        <v>568.79895299999998</v>
      </c>
      <c r="AA786" s="218">
        <v>68855.401249999995</v>
      </c>
      <c r="AC786" s="252">
        <v>32.245167459999998</v>
      </c>
      <c r="AG786" s="218">
        <v>4.6830265850000004</v>
      </c>
      <c r="AM786" s="218">
        <v>87</v>
      </c>
      <c r="BS786" s="218">
        <v>50.974174499999997</v>
      </c>
      <c r="BU786" s="218">
        <v>17.639820100000001</v>
      </c>
    </row>
    <row r="787" spans="1:73">
      <c r="A787" s="154" t="s">
        <v>7790</v>
      </c>
      <c r="B787" t="s">
        <v>257</v>
      </c>
      <c r="C787" t="s">
        <v>7987</v>
      </c>
      <c r="E787" s="113">
        <v>7</v>
      </c>
      <c r="F787" s="113">
        <v>52</v>
      </c>
      <c r="I787" s="253">
        <v>36</v>
      </c>
      <c r="S787" s="218">
        <v>1693.558935</v>
      </c>
      <c r="Y787" s="218">
        <v>630.37100290000001</v>
      </c>
      <c r="AA787" s="218">
        <v>74877.585210000005</v>
      </c>
      <c r="AC787" s="252">
        <v>33.789787480000001</v>
      </c>
      <c r="AG787" s="218">
        <v>4.5126705649999996</v>
      </c>
      <c r="AM787" s="218">
        <v>89</v>
      </c>
      <c r="BS787" s="218">
        <v>50.120437600000002</v>
      </c>
      <c r="BU787" s="218">
        <v>18.655666400000001</v>
      </c>
    </row>
    <row r="788" spans="1:73">
      <c r="A788" s="154" t="s">
        <v>7790</v>
      </c>
      <c r="B788" t="s">
        <v>257</v>
      </c>
      <c r="C788" t="s">
        <v>7988</v>
      </c>
      <c r="E788" s="113">
        <v>10</v>
      </c>
      <c r="F788" s="113">
        <v>22</v>
      </c>
      <c r="I788" s="253">
        <v>42</v>
      </c>
      <c r="S788" s="218">
        <v>1518.1521210000001</v>
      </c>
      <c r="Y788" s="218">
        <v>496.01100109999999</v>
      </c>
      <c r="AA788" s="218">
        <v>61691.853320000002</v>
      </c>
      <c r="AC788" s="252">
        <v>29.24882792</v>
      </c>
      <c r="AG788" s="218">
        <v>4.7411167509999999</v>
      </c>
      <c r="AM788" s="218">
        <v>87</v>
      </c>
      <c r="BS788" s="218">
        <v>51.904716499999999</v>
      </c>
      <c r="BU788" s="218">
        <v>16.9583206</v>
      </c>
    </row>
    <row r="789" spans="1:73">
      <c r="A789" s="154" t="s">
        <v>7790</v>
      </c>
      <c r="B789" t="s">
        <v>257</v>
      </c>
      <c r="C789" t="s">
        <v>7989</v>
      </c>
      <c r="E789" s="113">
        <v>13</v>
      </c>
      <c r="F789" s="113">
        <v>43</v>
      </c>
      <c r="I789" s="253">
        <v>37</v>
      </c>
      <c r="S789" s="218">
        <v>2172.0781780000002</v>
      </c>
      <c r="Y789" s="218">
        <v>830.62592659999996</v>
      </c>
      <c r="AA789" s="218">
        <v>94856.613190000004</v>
      </c>
      <c r="AC789" s="252">
        <v>43.808901630000001</v>
      </c>
      <c r="AG789" s="218">
        <v>4.6184340930000003</v>
      </c>
      <c r="AM789" s="218">
        <v>89</v>
      </c>
      <c r="BS789" s="218">
        <v>49.580749500000003</v>
      </c>
      <c r="BU789" s="218">
        <v>18.960208900000001</v>
      </c>
    </row>
    <row r="790" spans="1:73">
      <c r="A790" s="154" t="s">
        <v>7790</v>
      </c>
      <c r="B790" t="s">
        <v>259</v>
      </c>
      <c r="C790" t="s">
        <v>405</v>
      </c>
      <c r="E790" s="113">
        <v>4</v>
      </c>
      <c r="F790" s="113">
        <v>57</v>
      </c>
      <c r="I790" s="253">
        <v>42</v>
      </c>
      <c r="S790" s="218">
        <v>2038.0058759999999</v>
      </c>
      <c r="Y790" s="218">
        <v>786.38871280000001</v>
      </c>
      <c r="AA790" s="218">
        <v>89027.663589999996</v>
      </c>
      <c r="AC790" s="252">
        <v>41.28048879</v>
      </c>
      <c r="AG790" s="218">
        <v>4.6368159200000001</v>
      </c>
      <c r="AM790" s="218">
        <v>89</v>
      </c>
      <c r="BS790" s="218">
        <v>49.369712800000002</v>
      </c>
      <c r="BU790" s="218">
        <v>19.049888599999999</v>
      </c>
    </row>
    <row r="791" spans="1:73">
      <c r="A791" s="154" t="s">
        <v>7790</v>
      </c>
      <c r="B791" t="s">
        <v>259</v>
      </c>
      <c r="C791" t="s">
        <v>7987</v>
      </c>
      <c r="E791" s="113">
        <v>6</v>
      </c>
      <c r="F791" s="113">
        <v>15</v>
      </c>
      <c r="I791" s="253">
        <v>40</v>
      </c>
      <c r="S791" s="218">
        <v>2028.3878870000001</v>
      </c>
      <c r="Y791" s="218">
        <v>746.92859009999995</v>
      </c>
      <c r="AA791" s="218">
        <v>87459.26844</v>
      </c>
      <c r="AC791" s="252">
        <v>40.060316440000001</v>
      </c>
      <c r="AG791" s="218">
        <v>4.5804540969999996</v>
      </c>
      <c r="AM791" s="218">
        <v>87</v>
      </c>
      <c r="BS791" s="218">
        <v>50.633346600000003</v>
      </c>
      <c r="BU791" s="218">
        <v>18.645099600000002</v>
      </c>
    </row>
    <row r="792" spans="1:73">
      <c r="A792" s="154" t="s">
        <v>7790</v>
      </c>
      <c r="B792" t="s">
        <v>259</v>
      </c>
      <c r="C792" t="s">
        <v>7988</v>
      </c>
      <c r="E792" s="113">
        <v>10</v>
      </c>
      <c r="F792" s="113">
        <v>39</v>
      </c>
      <c r="I792" s="253">
        <v>40</v>
      </c>
      <c r="S792" s="218">
        <v>1967.2079920000001</v>
      </c>
      <c r="Y792" s="218">
        <v>728.53491489999999</v>
      </c>
      <c r="AA792" s="218">
        <v>83379.150070000003</v>
      </c>
      <c r="AC792" s="252">
        <v>39.217529880000001</v>
      </c>
      <c r="AG792" s="218">
        <v>4.7035175880000004</v>
      </c>
      <c r="AM792" s="218">
        <v>87</v>
      </c>
      <c r="BS792" s="218">
        <v>50.1614456</v>
      </c>
      <c r="BU792" s="218">
        <v>18.576767</v>
      </c>
    </row>
    <row r="793" spans="1:73">
      <c r="A793" s="154" t="s">
        <v>7790</v>
      </c>
      <c r="B793" t="s">
        <v>259</v>
      </c>
      <c r="C793" t="s">
        <v>7989</v>
      </c>
      <c r="E793" s="113">
        <v>14</v>
      </c>
      <c r="F793" s="113">
        <v>29</v>
      </c>
      <c r="I793" s="253">
        <v>32</v>
      </c>
      <c r="S793" s="218">
        <v>2138.2129669999999</v>
      </c>
      <c r="Y793" s="218">
        <v>863.04586070000005</v>
      </c>
      <c r="AA793" s="218">
        <v>93335.100399999996</v>
      </c>
      <c r="AC793" s="252">
        <v>43.631123010000003</v>
      </c>
      <c r="AG793" s="218">
        <v>4.6746746750000003</v>
      </c>
      <c r="AM793" s="218">
        <v>87</v>
      </c>
      <c r="BS793" s="218">
        <v>49.006599399999999</v>
      </c>
      <c r="BU793" s="218">
        <v>19.780509899999998</v>
      </c>
    </row>
    <row r="794" spans="1:73">
      <c r="A794" s="154" t="s">
        <v>7791</v>
      </c>
      <c r="B794" t="s">
        <v>257</v>
      </c>
      <c r="C794" t="s">
        <v>405</v>
      </c>
      <c r="E794" s="113">
        <v>4</v>
      </c>
      <c r="F794" s="113">
        <v>12</v>
      </c>
      <c r="I794" s="253">
        <v>38</v>
      </c>
      <c r="S794" s="218">
        <v>1910.3613250000001</v>
      </c>
      <c r="Y794" s="218">
        <v>702.93027640000003</v>
      </c>
      <c r="AA794" s="218">
        <v>90188.781940000001</v>
      </c>
      <c r="AC794" s="252">
        <v>38.159948679999999</v>
      </c>
      <c r="AG794" s="218">
        <v>4.2311191990000001</v>
      </c>
      <c r="AM794" s="218">
        <v>89</v>
      </c>
      <c r="BS794" s="218">
        <v>50.061946900000002</v>
      </c>
      <c r="BU794" s="218">
        <v>18.4206295</v>
      </c>
    </row>
    <row r="795" spans="1:73">
      <c r="A795" s="154" t="s">
        <v>7791</v>
      </c>
      <c r="B795" t="s">
        <v>257</v>
      </c>
      <c r="C795" t="s">
        <v>7987</v>
      </c>
      <c r="E795" s="113">
        <v>5</v>
      </c>
      <c r="F795" s="113">
        <v>53</v>
      </c>
      <c r="I795" s="253">
        <v>40</v>
      </c>
      <c r="S795" s="218">
        <v>1655.357534</v>
      </c>
      <c r="Y795" s="218">
        <v>608.04803270000002</v>
      </c>
      <c r="AA795" s="218">
        <v>78053.974220000004</v>
      </c>
      <c r="AC795" s="252">
        <v>32.353616889999998</v>
      </c>
      <c r="AG795" s="218">
        <v>4.1450313339999996</v>
      </c>
      <c r="AM795" s="218">
        <v>92</v>
      </c>
      <c r="BS795" s="218">
        <v>51.164527900000003</v>
      </c>
      <c r="BU795" s="218">
        <v>18.7938194</v>
      </c>
    </row>
    <row r="796" spans="1:73">
      <c r="A796" s="154" t="s">
        <v>7791</v>
      </c>
      <c r="B796" t="s">
        <v>257</v>
      </c>
      <c r="C796" t="s">
        <v>7988</v>
      </c>
      <c r="E796" s="113">
        <v>9</v>
      </c>
      <c r="F796" s="113">
        <v>10</v>
      </c>
      <c r="I796" s="253">
        <v>41</v>
      </c>
      <c r="S796" s="218" t="s">
        <v>7956</v>
      </c>
      <c r="Y796" s="218" t="s">
        <v>7956</v>
      </c>
      <c r="AA796" s="218" t="s">
        <v>7956</v>
      </c>
      <c r="AC796" s="252" t="s">
        <v>7956</v>
      </c>
      <c r="AG796" s="218">
        <v>4.326833798</v>
      </c>
      <c r="AM796" s="218">
        <v>92</v>
      </c>
      <c r="BS796" s="218">
        <v>51.369380999999997</v>
      </c>
      <c r="BU796" s="218">
        <v>18.0965214</v>
      </c>
    </row>
    <row r="797" spans="1:73">
      <c r="A797" s="154" t="s">
        <v>7791</v>
      </c>
      <c r="B797" t="s">
        <v>257</v>
      </c>
      <c r="C797" t="s">
        <v>7989</v>
      </c>
      <c r="E797" s="113">
        <v>15</v>
      </c>
      <c r="F797" s="113">
        <v>61</v>
      </c>
      <c r="I797" s="253">
        <v>34</v>
      </c>
      <c r="S797" s="218">
        <v>1539.6850529999999</v>
      </c>
      <c r="Y797" s="218">
        <v>549.47926470000004</v>
      </c>
      <c r="AA797" s="218">
        <v>75315.332739999998</v>
      </c>
      <c r="AC797" s="252">
        <v>30.282092370000001</v>
      </c>
      <c r="AG797" s="218">
        <v>4.0207075059999999</v>
      </c>
      <c r="AM797" s="218">
        <v>92</v>
      </c>
      <c r="BS797" s="218">
        <v>50.844738</v>
      </c>
      <c r="BU797" s="218">
        <v>18.1453533</v>
      </c>
    </row>
    <row r="798" spans="1:73">
      <c r="A798" s="154" t="s">
        <v>7791</v>
      </c>
      <c r="B798" t="s">
        <v>259</v>
      </c>
      <c r="C798" t="s">
        <v>405</v>
      </c>
      <c r="E798" s="113">
        <v>4</v>
      </c>
      <c r="F798" s="113">
        <v>43</v>
      </c>
      <c r="I798" s="253">
        <v>44</v>
      </c>
      <c r="S798" s="218">
        <v>1795.4922300000001</v>
      </c>
      <c r="Y798" s="218">
        <v>672.82474920000004</v>
      </c>
      <c r="AA798" s="218">
        <v>84863.636360000004</v>
      </c>
      <c r="AC798" s="252">
        <v>35.874173550000002</v>
      </c>
      <c r="AG798" s="218">
        <v>4.2272727269999999</v>
      </c>
      <c r="AM798" s="218">
        <v>92</v>
      </c>
      <c r="BS798" s="218">
        <v>50.0497169</v>
      </c>
      <c r="BU798" s="218">
        <v>18.755128899999999</v>
      </c>
    </row>
    <row r="799" spans="1:73">
      <c r="A799" s="154" t="s">
        <v>7791</v>
      </c>
      <c r="B799" t="s">
        <v>259</v>
      </c>
      <c r="C799" t="s">
        <v>7987</v>
      </c>
      <c r="E799" s="113">
        <v>5</v>
      </c>
      <c r="F799" s="113">
        <v>5</v>
      </c>
      <c r="I799" s="253">
        <v>35</v>
      </c>
      <c r="S799" s="218">
        <v>1734.765034</v>
      </c>
      <c r="Y799" s="218">
        <v>640.60283049999998</v>
      </c>
      <c r="AA799" s="218">
        <v>80717.72176</v>
      </c>
      <c r="AC799" s="252">
        <v>33.716615439999998</v>
      </c>
      <c r="AG799" s="218">
        <v>4.1771019679999997</v>
      </c>
      <c r="AM799" s="218">
        <v>94</v>
      </c>
      <c r="BS799" s="218">
        <v>51.451339699999998</v>
      </c>
      <c r="BU799" s="218">
        <v>18.9996185</v>
      </c>
    </row>
    <row r="800" spans="1:73">
      <c r="A800" s="154" t="s">
        <v>7791</v>
      </c>
      <c r="B800" t="s">
        <v>259</v>
      </c>
      <c r="C800" t="s">
        <v>7988</v>
      </c>
      <c r="E800" s="113">
        <v>11</v>
      </c>
      <c r="F800" s="113">
        <v>57</v>
      </c>
      <c r="I800" s="253">
        <v>44</v>
      </c>
      <c r="S800" s="218">
        <v>2147.882388</v>
      </c>
      <c r="Y800" s="218">
        <v>776.35174840000002</v>
      </c>
      <c r="AA800" s="218">
        <v>104791.2571</v>
      </c>
      <c r="AC800" s="252">
        <v>41.934461910000003</v>
      </c>
      <c r="AG800" s="218">
        <v>4.0017137959999998</v>
      </c>
      <c r="AM800" s="218">
        <v>92</v>
      </c>
      <c r="BS800" s="218">
        <v>51.219982100000003</v>
      </c>
      <c r="BU800" s="218">
        <v>18.513454400000001</v>
      </c>
    </row>
    <row r="801" spans="1:73">
      <c r="A801" s="154" t="s">
        <v>7791</v>
      </c>
      <c r="B801" t="s">
        <v>259</v>
      </c>
      <c r="C801" t="s">
        <v>7989</v>
      </c>
      <c r="E801" s="113">
        <v>16</v>
      </c>
      <c r="F801" s="113">
        <v>30</v>
      </c>
      <c r="I801" s="253">
        <v>33</v>
      </c>
      <c r="S801" s="218">
        <v>1985.5107760000001</v>
      </c>
      <c r="Y801" s="218">
        <v>745.98090939999997</v>
      </c>
      <c r="AA801" s="218">
        <v>93707.927049999998</v>
      </c>
      <c r="AC801" s="252">
        <v>39.261691910000003</v>
      </c>
      <c r="AG801" s="218">
        <v>4.1897940910000004</v>
      </c>
      <c r="AM801" s="218">
        <v>92</v>
      </c>
      <c r="BS801" s="218">
        <v>50.571197499999997</v>
      </c>
      <c r="BU801" s="218">
        <v>19.000223200000001</v>
      </c>
    </row>
    <row r="802" spans="1:73">
      <c r="A802" s="154" t="s">
        <v>7792</v>
      </c>
      <c r="B802" t="s">
        <v>257</v>
      </c>
      <c r="C802" t="s">
        <v>405</v>
      </c>
      <c r="E802" s="113">
        <v>3</v>
      </c>
      <c r="F802" s="113">
        <v>6</v>
      </c>
      <c r="I802" s="253">
        <v>36</v>
      </c>
      <c r="S802" s="218">
        <v>1412.1617369999999</v>
      </c>
      <c r="Y802" s="218">
        <v>493.75366009999999</v>
      </c>
      <c r="AA802" s="218">
        <v>56417.75937</v>
      </c>
      <c r="AC802" s="252">
        <v>27.418544700000002</v>
      </c>
      <c r="AG802" s="218">
        <v>4.8599137929999996</v>
      </c>
      <c r="AM802" s="218">
        <v>89</v>
      </c>
      <c r="BS802" s="218">
        <v>51.503891000000003</v>
      </c>
      <c r="BU802" s="218">
        <v>18.008018499999999</v>
      </c>
    </row>
    <row r="803" spans="1:73">
      <c r="A803" s="154" t="s">
        <v>7792</v>
      </c>
      <c r="B803" t="s">
        <v>257</v>
      </c>
      <c r="C803" t="s">
        <v>7987</v>
      </c>
      <c r="E803" s="113">
        <v>8</v>
      </c>
      <c r="F803" s="113">
        <v>39</v>
      </c>
      <c r="I803" s="253">
        <v>43</v>
      </c>
      <c r="S803" s="218">
        <v>1517.6701399999999</v>
      </c>
      <c r="Y803" s="218">
        <v>552.28262689999997</v>
      </c>
      <c r="AA803" s="218">
        <v>59986.038919999999</v>
      </c>
      <c r="AC803" s="252">
        <v>29.961078010000001</v>
      </c>
      <c r="AG803" s="218">
        <v>4.9946751860000003</v>
      </c>
      <c r="AM803" s="218">
        <v>92</v>
      </c>
      <c r="BS803" s="218">
        <v>50.654724100000003</v>
      </c>
      <c r="BU803" s="218">
        <v>18.433336300000001</v>
      </c>
    </row>
    <row r="804" spans="1:73">
      <c r="A804" s="154" t="s">
        <v>7792</v>
      </c>
      <c r="B804" t="s">
        <v>257</v>
      </c>
      <c r="C804" t="s">
        <v>7988</v>
      </c>
      <c r="E804" s="113">
        <v>11</v>
      </c>
      <c r="F804" s="113">
        <v>31</v>
      </c>
      <c r="I804" s="253">
        <v>34</v>
      </c>
      <c r="S804" s="218">
        <v>1757.6303310000001</v>
      </c>
      <c r="Y804" s="218">
        <v>649.3628344</v>
      </c>
      <c r="AA804" s="218">
        <v>63850.752</v>
      </c>
      <c r="AC804" s="252">
        <v>34.438021329999998</v>
      </c>
      <c r="AG804" s="218">
        <v>5.3935185189999997</v>
      </c>
      <c r="AM804" s="218">
        <v>89</v>
      </c>
      <c r="BS804" s="218">
        <v>51.037494700000003</v>
      </c>
      <c r="BU804" s="218">
        <v>18.8559856</v>
      </c>
    </row>
    <row r="805" spans="1:73">
      <c r="A805" s="154" t="s">
        <v>7792</v>
      </c>
      <c r="B805" t="s">
        <v>257</v>
      </c>
      <c r="C805" t="s">
        <v>7989</v>
      </c>
      <c r="E805" s="113">
        <v>16</v>
      </c>
      <c r="F805" s="113">
        <v>50</v>
      </c>
      <c r="I805" s="253">
        <v>36</v>
      </c>
      <c r="S805" s="218">
        <v>1626.458928</v>
      </c>
      <c r="Y805" s="218">
        <v>586.55531610000003</v>
      </c>
      <c r="AA805" s="218">
        <v>65779.59822</v>
      </c>
      <c r="AC805" s="252">
        <v>31.995306670000002</v>
      </c>
      <c r="AG805" s="218">
        <v>4.864016736</v>
      </c>
      <c r="AM805" s="218">
        <v>92</v>
      </c>
      <c r="BS805" s="218">
        <v>50.834297200000002</v>
      </c>
      <c r="BU805" s="218">
        <v>18.332542400000001</v>
      </c>
    </row>
    <row r="806" spans="1:73">
      <c r="A806" s="154" t="s">
        <v>7792</v>
      </c>
      <c r="B806" t="s">
        <v>259</v>
      </c>
      <c r="C806" t="s">
        <v>405</v>
      </c>
      <c r="E806" s="113">
        <v>1</v>
      </c>
      <c r="F806" s="113">
        <v>44</v>
      </c>
      <c r="I806" s="253">
        <v>35</v>
      </c>
      <c r="S806" s="218">
        <v>1938.4282029999999</v>
      </c>
      <c r="Y806" s="218">
        <v>728.11890800000003</v>
      </c>
      <c r="AA806" s="218">
        <v>82457.301730000007</v>
      </c>
      <c r="AC806" s="252">
        <v>38.429174570000001</v>
      </c>
      <c r="AG806" s="218">
        <v>4.6604938269999998</v>
      </c>
      <c r="AM806" s="218">
        <v>92</v>
      </c>
      <c r="BS806" s="218">
        <v>50.441577899999999</v>
      </c>
      <c r="BU806" s="218">
        <v>18.947034800000001</v>
      </c>
    </row>
    <row r="807" spans="1:73">
      <c r="A807" s="154" t="s">
        <v>7792</v>
      </c>
      <c r="B807" t="s">
        <v>259</v>
      </c>
      <c r="C807" t="s">
        <v>7987</v>
      </c>
      <c r="E807" s="113">
        <v>7</v>
      </c>
      <c r="F807" s="113">
        <v>8</v>
      </c>
      <c r="I807" s="253">
        <v>37</v>
      </c>
      <c r="S807" s="218">
        <v>1868.7619070000001</v>
      </c>
      <c r="Y807" s="218">
        <v>744.09947839999995</v>
      </c>
      <c r="AA807" s="218">
        <v>73391.181939999995</v>
      </c>
      <c r="AC807" s="252">
        <v>37.537784860000002</v>
      </c>
      <c r="AG807" s="218">
        <v>5.1147540979999997</v>
      </c>
      <c r="AM807" s="218">
        <v>89</v>
      </c>
      <c r="BS807" s="218">
        <v>49.783489199999998</v>
      </c>
      <c r="BU807" s="218">
        <v>19.8226795</v>
      </c>
    </row>
    <row r="808" spans="1:73">
      <c r="A808" s="154" t="s">
        <v>7792</v>
      </c>
      <c r="B808" t="s">
        <v>259</v>
      </c>
      <c r="C808" t="s">
        <v>7988</v>
      </c>
      <c r="E808" s="113">
        <v>12</v>
      </c>
      <c r="F808" s="113">
        <v>51</v>
      </c>
      <c r="I808" s="253">
        <v>37</v>
      </c>
      <c r="S808" s="218">
        <v>1960.2403200000001</v>
      </c>
      <c r="Y808" s="218">
        <v>814.59638740000003</v>
      </c>
      <c r="AA808" s="218">
        <v>83593.293049999993</v>
      </c>
      <c r="AC808" s="252">
        <v>40.681474520000002</v>
      </c>
      <c r="AG808" s="218">
        <v>4.8665955179999996</v>
      </c>
      <c r="AM808" s="218">
        <v>92</v>
      </c>
      <c r="BS808" s="218">
        <v>48.185085299999997</v>
      </c>
      <c r="BU808" s="218">
        <v>20.023767500000002</v>
      </c>
    </row>
    <row r="809" spans="1:73">
      <c r="A809" s="154" t="s">
        <v>7792</v>
      </c>
      <c r="B809" t="s">
        <v>259</v>
      </c>
      <c r="C809" t="s">
        <v>7989</v>
      </c>
      <c r="E809" s="113">
        <v>15</v>
      </c>
      <c r="F809" s="113">
        <v>14</v>
      </c>
      <c r="I809" s="253">
        <v>36</v>
      </c>
      <c r="S809" s="218" t="s">
        <v>7956</v>
      </c>
      <c r="Y809" s="218" t="s">
        <v>7956</v>
      </c>
      <c r="AA809" s="218" t="s">
        <v>7956</v>
      </c>
      <c r="AC809" s="252" t="s">
        <v>7956</v>
      </c>
      <c r="AG809" s="218" t="s">
        <v>7956</v>
      </c>
      <c r="AM809" s="218">
        <v>92</v>
      </c>
      <c r="BS809" s="218" t="s">
        <v>7956</v>
      </c>
      <c r="BU809" s="218" t="s">
        <v>7956</v>
      </c>
    </row>
    <row r="810" spans="1:73">
      <c r="A810" s="154" t="s">
        <v>7793</v>
      </c>
      <c r="B810" t="s">
        <v>257</v>
      </c>
      <c r="C810" t="s">
        <v>405</v>
      </c>
      <c r="E810" s="113">
        <v>4</v>
      </c>
      <c r="F810" s="113">
        <v>26</v>
      </c>
      <c r="I810" s="253">
        <v>34</v>
      </c>
      <c r="S810" s="218">
        <v>1356.0605680000001</v>
      </c>
      <c r="Y810" s="218">
        <v>538.5569984</v>
      </c>
      <c r="AA810" s="218">
        <v>54231.751250000001</v>
      </c>
      <c r="AC810" s="252">
        <v>27.774318520000001</v>
      </c>
      <c r="AG810" s="218">
        <v>5.1214128040000002</v>
      </c>
      <c r="AM810" s="218">
        <v>89</v>
      </c>
      <c r="BS810" s="218">
        <v>48.824260700000004</v>
      </c>
      <c r="BU810" s="218">
        <v>19.390466700000001</v>
      </c>
    </row>
    <row r="811" spans="1:73">
      <c r="A811" s="154" t="s">
        <v>7793</v>
      </c>
      <c r="B811" t="s">
        <v>257</v>
      </c>
      <c r="C811" t="s">
        <v>7987</v>
      </c>
      <c r="E811" s="113">
        <v>5</v>
      </c>
      <c r="F811" s="113">
        <v>55</v>
      </c>
      <c r="I811" s="253">
        <v>32</v>
      </c>
      <c r="S811" s="218">
        <v>1323.1273140000001</v>
      </c>
      <c r="Y811" s="218">
        <v>491.177682</v>
      </c>
      <c r="AA811" s="218">
        <v>53354.818120000004</v>
      </c>
      <c r="AC811" s="252">
        <v>26.826778650000001</v>
      </c>
      <c r="AG811" s="218">
        <v>5.0279955210000002</v>
      </c>
      <c r="AM811" s="218">
        <v>89</v>
      </c>
      <c r="BS811" s="218">
        <v>49.321140300000003</v>
      </c>
      <c r="BU811" s="218">
        <v>18.309230800000002</v>
      </c>
    </row>
    <row r="812" spans="1:73">
      <c r="A812" s="154" t="s">
        <v>7793</v>
      </c>
      <c r="B812" t="s">
        <v>257</v>
      </c>
      <c r="C812" t="s">
        <v>7988</v>
      </c>
      <c r="E812" s="113">
        <v>12</v>
      </c>
      <c r="F812" s="113">
        <v>23</v>
      </c>
      <c r="I812" s="253">
        <v>35</v>
      </c>
      <c r="S812" s="218">
        <v>1448.0623780000001</v>
      </c>
      <c r="Y812" s="218">
        <v>553.71431429999996</v>
      </c>
      <c r="AA812" s="218">
        <v>58293.951370000002</v>
      </c>
      <c r="AC812" s="252">
        <v>29.080732560000001</v>
      </c>
      <c r="AG812" s="218">
        <v>4.9886363640000004</v>
      </c>
      <c r="AM812" s="218">
        <v>89</v>
      </c>
      <c r="BS812" s="218">
        <v>49.7945633</v>
      </c>
      <c r="BU812" s="218">
        <v>19.040590300000002</v>
      </c>
    </row>
    <row r="813" spans="1:73">
      <c r="A813" s="154" t="s">
        <v>7793</v>
      </c>
      <c r="B813" t="s">
        <v>257</v>
      </c>
      <c r="C813" t="s">
        <v>7989</v>
      </c>
      <c r="E813" s="113">
        <v>13</v>
      </c>
      <c r="F813" s="113">
        <v>52</v>
      </c>
      <c r="I813" s="253">
        <v>34</v>
      </c>
      <c r="S813" s="218">
        <v>1610.830136</v>
      </c>
      <c r="Y813" s="218">
        <v>633.19178639999996</v>
      </c>
      <c r="AA813" s="218">
        <v>72010.424320000006</v>
      </c>
      <c r="AC813" s="252">
        <v>33.600078349999997</v>
      </c>
      <c r="AG813" s="218">
        <v>4.6660019940000002</v>
      </c>
      <c r="AM813" s="218">
        <v>92</v>
      </c>
      <c r="BS813" s="218">
        <v>47.941261300000001</v>
      </c>
      <c r="BU813" s="218">
        <v>18.844949700000001</v>
      </c>
    </row>
    <row r="814" spans="1:73">
      <c r="A814" s="154" t="s">
        <v>7793</v>
      </c>
      <c r="B814" t="s">
        <v>259</v>
      </c>
      <c r="C814" t="s">
        <v>405</v>
      </c>
      <c r="E814" s="113">
        <v>1</v>
      </c>
      <c r="F814" s="113">
        <v>43</v>
      </c>
      <c r="I814" s="253">
        <v>38</v>
      </c>
      <c r="S814" s="218">
        <v>1460.798031</v>
      </c>
      <c r="Y814" s="218">
        <v>534.3975441</v>
      </c>
      <c r="AA814" s="218">
        <v>59086.113640000003</v>
      </c>
      <c r="AC814" s="252">
        <v>29.35204568</v>
      </c>
      <c r="AG814" s="218">
        <v>4.9676724139999999</v>
      </c>
      <c r="AM814" s="218">
        <v>89</v>
      </c>
      <c r="BS814" s="218">
        <v>49.768184699999999</v>
      </c>
      <c r="BU814" s="218">
        <v>18.206483800000001</v>
      </c>
    </row>
    <row r="815" spans="1:73">
      <c r="A815" s="154" t="s">
        <v>7793</v>
      </c>
      <c r="B815" t="s">
        <v>259</v>
      </c>
      <c r="C815" t="s">
        <v>7987</v>
      </c>
      <c r="E815" s="113">
        <v>8</v>
      </c>
      <c r="F815" s="113">
        <v>14</v>
      </c>
      <c r="I815" s="253">
        <v>37</v>
      </c>
      <c r="S815" s="218">
        <v>1658.0283609999999</v>
      </c>
      <c r="Y815" s="218">
        <v>680.22876540000004</v>
      </c>
      <c r="AA815" s="218">
        <v>66342.165040000007</v>
      </c>
      <c r="AC815" s="252">
        <v>33.796951999999997</v>
      </c>
      <c r="AG815" s="218">
        <v>5.0943396229999998</v>
      </c>
      <c r="AM815" s="218">
        <v>89</v>
      </c>
      <c r="BS815" s="218">
        <v>49.058517500000001</v>
      </c>
      <c r="BU815" s="218">
        <v>20.126926399999999</v>
      </c>
    </row>
    <row r="816" spans="1:73">
      <c r="A816" s="154" t="s">
        <v>7793</v>
      </c>
      <c r="B816" t="s">
        <v>259</v>
      </c>
      <c r="C816" t="s">
        <v>7988</v>
      </c>
      <c r="E816" s="113">
        <v>11</v>
      </c>
      <c r="F816" s="113">
        <v>34</v>
      </c>
      <c r="I816" s="253">
        <v>39</v>
      </c>
      <c r="S816" s="218" t="s">
        <v>7956</v>
      </c>
      <c r="Y816" s="218" t="s">
        <v>7956</v>
      </c>
      <c r="AA816" s="218" t="s">
        <v>7956</v>
      </c>
      <c r="AC816" s="252" t="s">
        <v>7956</v>
      </c>
      <c r="AG816" s="218">
        <v>4.5596868879999999</v>
      </c>
      <c r="AM816" s="218">
        <v>92</v>
      </c>
      <c r="BS816" s="218">
        <v>48.109329199999998</v>
      </c>
      <c r="BU816" s="218">
        <v>20.7649784</v>
      </c>
    </row>
    <row r="817" spans="1:73">
      <c r="A817" s="154" t="s">
        <v>7793</v>
      </c>
      <c r="B817" t="s">
        <v>259</v>
      </c>
      <c r="C817" t="s">
        <v>7989</v>
      </c>
      <c r="E817" s="113">
        <v>14</v>
      </c>
      <c r="F817" s="113">
        <v>4</v>
      </c>
      <c r="I817" s="253">
        <v>30</v>
      </c>
      <c r="S817" s="218">
        <v>1371.95714</v>
      </c>
      <c r="Y817" s="218">
        <v>533.57837910000001</v>
      </c>
      <c r="AA817" s="218">
        <v>54992.959999999999</v>
      </c>
      <c r="AC817" s="252">
        <v>27.94528</v>
      </c>
      <c r="AG817" s="218">
        <v>5.081610446</v>
      </c>
      <c r="AM817" s="218">
        <v>89</v>
      </c>
      <c r="BS817" s="218">
        <v>49.094413799999998</v>
      </c>
      <c r="BU817" s="218">
        <v>19.093685199999999</v>
      </c>
    </row>
    <row r="818" spans="1:73">
      <c r="A818" s="154" t="s">
        <v>7794</v>
      </c>
      <c r="B818" t="s">
        <v>257</v>
      </c>
      <c r="C818" t="s">
        <v>405</v>
      </c>
      <c r="E818" s="113">
        <v>2</v>
      </c>
      <c r="F818" s="113">
        <v>28</v>
      </c>
      <c r="I818" s="253">
        <v>42</v>
      </c>
      <c r="S818" s="218">
        <v>1393.4019989999999</v>
      </c>
      <c r="Y818" s="218">
        <v>502.62177630000002</v>
      </c>
      <c r="AA818" s="218">
        <v>52906.104160000003</v>
      </c>
      <c r="AC818" s="252">
        <v>27.247526390000001</v>
      </c>
      <c r="AG818" s="218">
        <v>5.1501668519999999</v>
      </c>
      <c r="AM818" s="218">
        <v>87</v>
      </c>
      <c r="BS818" s="218">
        <v>51.138660399999999</v>
      </c>
      <c r="BU818" s="218">
        <v>18.4465103</v>
      </c>
    </row>
    <row r="819" spans="1:73">
      <c r="A819" s="154" t="s">
        <v>7794</v>
      </c>
      <c r="B819" t="s">
        <v>257</v>
      </c>
      <c r="C819" t="s">
        <v>7987</v>
      </c>
      <c r="E819" s="113">
        <v>5</v>
      </c>
      <c r="F819" s="113">
        <v>56</v>
      </c>
      <c r="I819" s="253">
        <v>43</v>
      </c>
      <c r="S819" s="218">
        <v>1355.8463360000001</v>
      </c>
      <c r="Y819" s="218">
        <v>553.24814140000001</v>
      </c>
      <c r="AA819" s="218">
        <v>54546.579010000001</v>
      </c>
      <c r="AC819" s="252">
        <v>27.273289500000001</v>
      </c>
      <c r="AG819" s="218">
        <v>5</v>
      </c>
      <c r="AM819" s="218">
        <v>89</v>
      </c>
      <c r="BS819" s="218">
        <v>49.713340799999997</v>
      </c>
      <c r="BU819" s="218">
        <v>20.285347000000002</v>
      </c>
    </row>
    <row r="820" spans="1:73">
      <c r="A820" s="154" t="s">
        <v>7794</v>
      </c>
      <c r="B820" t="s">
        <v>257</v>
      </c>
      <c r="C820" t="s">
        <v>7988</v>
      </c>
      <c r="E820" s="113">
        <v>10</v>
      </c>
      <c r="F820" s="113">
        <v>24</v>
      </c>
      <c r="I820" s="253">
        <v>43</v>
      </c>
      <c r="S820" s="218">
        <v>1473.1262079999999</v>
      </c>
      <c r="Y820" s="218">
        <v>590.74950339999998</v>
      </c>
      <c r="AA820" s="218">
        <v>53109.677530000001</v>
      </c>
      <c r="AC820" s="252">
        <v>29.51939321</v>
      </c>
      <c r="AG820" s="218">
        <v>5.5581947740000004</v>
      </c>
      <c r="AM820" s="218">
        <v>89</v>
      </c>
      <c r="BS820" s="218">
        <v>49.903675100000001</v>
      </c>
      <c r="BU820" s="218">
        <v>20.012250900000002</v>
      </c>
    </row>
    <row r="821" spans="1:73">
      <c r="A821" s="154" t="s">
        <v>7794</v>
      </c>
      <c r="B821" t="s">
        <v>257</v>
      </c>
      <c r="C821" t="s">
        <v>7989</v>
      </c>
      <c r="E821" s="113">
        <v>14</v>
      </c>
      <c r="F821" s="113">
        <v>35</v>
      </c>
      <c r="I821" s="253">
        <v>37</v>
      </c>
      <c r="S821" s="218">
        <v>1862.6369139999999</v>
      </c>
      <c r="Y821" s="218">
        <v>715.35698769999999</v>
      </c>
      <c r="AA821" s="218">
        <v>70616.070940000005</v>
      </c>
      <c r="AC821" s="252">
        <v>36.805474480000001</v>
      </c>
      <c r="AG821" s="218">
        <v>5.2120535710000002</v>
      </c>
      <c r="AM821" s="218">
        <v>87</v>
      </c>
      <c r="BS821" s="218">
        <v>50.607605</v>
      </c>
      <c r="BU821" s="218">
        <v>19.4361572</v>
      </c>
    </row>
    <row r="822" spans="1:73">
      <c r="A822" s="154" t="s">
        <v>7794</v>
      </c>
      <c r="B822" t="s">
        <v>259</v>
      </c>
      <c r="C822" t="s">
        <v>405</v>
      </c>
      <c r="E822" s="113">
        <v>2</v>
      </c>
      <c r="F822" s="113">
        <v>44</v>
      </c>
      <c r="I822" s="253">
        <v>41</v>
      </c>
      <c r="S822" s="218">
        <v>1775.3434930000001</v>
      </c>
      <c r="Y822" s="218">
        <v>712.84226139999998</v>
      </c>
      <c r="AA822" s="218">
        <v>71517.085290000003</v>
      </c>
      <c r="AC822" s="252">
        <v>35.875273470000003</v>
      </c>
      <c r="AG822" s="218">
        <v>5.016322089</v>
      </c>
      <c r="AM822" s="218">
        <v>89</v>
      </c>
      <c r="BS822" s="218">
        <v>49.486549400000001</v>
      </c>
      <c r="BU822" s="218">
        <v>19.870016100000001</v>
      </c>
    </row>
    <row r="823" spans="1:73">
      <c r="A823" s="154" t="s">
        <v>7794</v>
      </c>
      <c r="B823" t="s">
        <v>259</v>
      </c>
      <c r="C823" t="s">
        <v>7987</v>
      </c>
      <c r="E823" s="113">
        <v>6</v>
      </c>
      <c r="F823" s="113">
        <v>13</v>
      </c>
      <c r="I823" s="253">
        <v>38</v>
      </c>
      <c r="S823" s="218">
        <v>1404.697426</v>
      </c>
      <c r="Y823" s="218">
        <v>575.21044859999995</v>
      </c>
      <c r="AA823" s="218">
        <v>55967.90597</v>
      </c>
      <c r="AC823" s="252">
        <v>28.511952099999998</v>
      </c>
      <c r="AG823" s="218">
        <v>5.0943396229999998</v>
      </c>
      <c r="AM823" s="218">
        <v>89</v>
      </c>
      <c r="BS823" s="218">
        <v>51.014808700000003</v>
      </c>
      <c r="BU823" s="218">
        <v>20.174362200000001</v>
      </c>
    </row>
    <row r="824" spans="1:73">
      <c r="A824" s="154" t="s">
        <v>7794</v>
      </c>
      <c r="B824" t="s">
        <v>259</v>
      </c>
      <c r="C824" t="s">
        <v>7988</v>
      </c>
      <c r="E824" s="113">
        <v>12</v>
      </c>
      <c r="F824" s="113">
        <v>33</v>
      </c>
      <c r="I824" s="253">
        <v>38</v>
      </c>
      <c r="S824" s="218" t="s">
        <v>7956</v>
      </c>
      <c r="Y824" s="218" t="s">
        <v>7956</v>
      </c>
      <c r="AA824" s="218" t="s">
        <v>7956</v>
      </c>
      <c r="AC824" s="252" t="s">
        <v>7956</v>
      </c>
      <c r="AG824" s="218" t="s">
        <v>7956</v>
      </c>
      <c r="AM824" s="218">
        <v>89</v>
      </c>
      <c r="BS824" s="218" t="s">
        <v>7956</v>
      </c>
      <c r="BU824" s="218" t="s">
        <v>7956</v>
      </c>
    </row>
    <row r="825" spans="1:73">
      <c r="A825" s="154" t="s">
        <v>7794</v>
      </c>
      <c r="B825" t="s">
        <v>259</v>
      </c>
      <c r="C825" t="s">
        <v>7989</v>
      </c>
      <c r="E825" s="113">
        <v>14</v>
      </c>
      <c r="F825" s="113">
        <v>19</v>
      </c>
      <c r="I825" s="253">
        <v>29</v>
      </c>
      <c r="S825" s="218">
        <v>1770.740511</v>
      </c>
      <c r="Y825" s="218">
        <v>766.15746490000004</v>
      </c>
      <c r="AA825" s="218">
        <v>70313.715679999994</v>
      </c>
      <c r="AC825" s="252">
        <v>36.086113990000001</v>
      </c>
      <c r="AG825" s="218">
        <v>5.1321585900000004</v>
      </c>
      <c r="AM825" s="218">
        <v>89</v>
      </c>
      <c r="BS825" s="218">
        <v>49.069858600000003</v>
      </c>
      <c r="BU825" s="218">
        <v>21.231365199999999</v>
      </c>
    </row>
    <row r="826" spans="1:73">
      <c r="A826" s="154" t="s">
        <v>7877</v>
      </c>
      <c r="B826" t="s">
        <v>257</v>
      </c>
      <c r="C826" t="s">
        <v>405</v>
      </c>
      <c r="E826" s="113">
        <v>2</v>
      </c>
      <c r="F826" s="113">
        <v>21</v>
      </c>
      <c r="I826" s="253">
        <v>38</v>
      </c>
      <c r="S826" s="218">
        <v>1536.987159</v>
      </c>
      <c r="Y826" s="218">
        <v>551.63083949999998</v>
      </c>
      <c r="AA826" s="218">
        <v>70688.33786</v>
      </c>
      <c r="AC826" s="252">
        <v>30.191187289999998</v>
      </c>
      <c r="AG826" s="218">
        <v>4.2710280369999998</v>
      </c>
      <c r="AM826" s="218">
        <v>92</v>
      </c>
      <c r="BS826" s="218">
        <v>50.908470199999996</v>
      </c>
      <c r="BU826" s="218">
        <v>18.271253600000001</v>
      </c>
    </row>
    <row r="827" spans="1:73">
      <c r="A827" s="154" t="s">
        <v>7877</v>
      </c>
      <c r="B827" t="s">
        <v>257</v>
      </c>
      <c r="C827" t="s">
        <v>7987</v>
      </c>
      <c r="E827" s="113">
        <v>6</v>
      </c>
      <c r="F827" s="113">
        <v>36</v>
      </c>
      <c r="I827" s="253">
        <v>38</v>
      </c>
      <c r="S827" s="218">
        <v>1424.189875</v>
      </c>
      <c r="Y827" s="218">
        <v>563.60164469999995</v>
      </c>
      <c r="AA827" s="218">
        <v>71355.623099999997</v>
      </c>
      <c r="AC827" s="252">
        <v>28.909746009999999</v>
      </c>
      <c r="AG827" s="218">
        <v>4.0515021459999998</v>
      </c>
      <c r="AM827" s="218">
        <v>92</v>
      </c>
      <c r="BS827" s="218">
        <v>49.2633133</v>
      </c>
      <c r="BU827" s="218">
        <v>19.495212599999999</v>
      </c>
    </row>
    <row r="828" spans="1:73">
      <c r="A828" s="154" t="s">
        <v>7877</v>
      </c>
      <c r="B828" t="s">
        <v>257</v>
      </c>
      <c r="C828" t="s">
        <v>7988</v>
      </c>
      <c r="E828" s="113">
        <v>10</v>
      </c>
      <c r="F828" s="113">
        <v>7</v>
      </c>
      <c r="I828" s="253">
        <v>29</v>
      </c>
      <c r="S828" s="218">
        <v>1066.2032919999999</v>
      </c>
      <c r="Y828" s="218">
        <v>379.4002552</v>
      </c>
      <c r="AA828" s="218">
        <v>48087.033620000002</v>
      </c>
      <c r="AC828" s="252">
        <v>20.854301499999998</v>
      </c>
      <c r="AG828" s="218">
        <v>4.3367826899999997</v>
      </c>
      <c r="AM828" s="218">
        <v>92</v>
      </c>
      <c r="BS828" s="218">
        <v>51.126300800000003</v>
      </c>
      <c r="BU828" s="218">
        <v>18.192901599999999</v>
      </c>
    </row>
    <row r="829" spans="1:73">
      <c r="A829" s="154" t="s">
        <v>7877</v>
      </c>
      <c r="B829" t="s">
        <v>257</v>
      </c>
      <c r="C829" t="s">
        <v>7989</v>
      </c>
      <c r="E829" s="113">
        <v>14</v>
      </c>
      <c r="F829" s="113">
        <v>54</v>
      </c>
      <c r="I829" s="253">
        <v>36</v>
      </c>
      <c r="S829" s="218">
        <v>1461.6367789999999</v>
      </c>
      <c r="Y829" s="218">
        <v>544.46734990000004</v>
      </c>
      <c r="AA829" s="218">
        <v>69736.390549999996</v>
      </c>
      <c r="AC829" s="252">
        <v>29.077584269999999</v>
      </c>
      <c r="AG829" s="218">
        <v>4.1696428570000004</v>
      </c>
      <c r="AM829" s="218">
        <v>101</v>
      </c>
      <c r="BS829" s="218">
        <v>50.266788499999997</v>
      </c>
      <c r="BU829" s="218">
        <v>18.724641800000001</v>
      </c>
    </row>
    <row r="830" spans="1:73">
      <c r="A830" s="154" t="s">
        <v>7877</v>
      </c>
      <c r="B830" t="s">
        <v>259</v>
      </c>
      <c r="C830" t="s">
        <v>405</v>
      </c>
      <c r="E830" s="113">
        <v>4</v>
      </c>
      <c r="F830" s="113">
        <v>62</v>
      </c>
      <c r="I830" s="253">
        <v>41</v>
      </c>
      <c r="S830" s="218">
        <v>1594.257844</v>
      </c>
      <c r="Y830" s="218">
        <v>656.88808140000003</v>
      </c>
      <c r="AA830" s="218">
        <v>77124.34375</v>
      </c>
      <c r="AC830" s="252">
        <v>32.753351070000001</v>
      </c>
      <c r="AG830" s="218">
        <v>4.2468239560000001</v>
      </c>
      <c r="AM830" s="218">
        <v>101</v>
      </c>
      <c r="BS830" s="218">
        <v>48.674648300000001</v>
      </c>
      <c r="BU830" s="218">
        <v>20.0555992</v>
      </c>
    </row>
    <row r="831" spans="1:73">
      <c r="A831" s="154" t="s">
        <v>7877</v>
      </c>
      <c r="B831" t="s">
        <v>259</v>
      </c>
      <c r="C831" t="s">
        <v>7987</v>
      </c>
      <c r="E831" s="113">
        <v>7</v>
      </c>
      <c r="F831" s="113">
        <v>3</v>
      </c>
      <c r="I831" s="253">
        <v>36</v>
      </c>
      <c r="S831" s="218">
        <v>1467.0151760000001</v>
      </c>
      <c r="Y831" s="218">
        <v>590.21395810000001</v>
      </c>
      <c r="AA831" s="218">
        <v>68318.333329999994</v>
      </c>
      <c r="AC831" s="252">
        <v>29.706388889999999</v>
      </c>
      <c r="AG831" s="218">
        <v>4.348230912</v>
      </c>
      <c r="AM831" s="218">
        <v>94</v>
      </c>
      <c r="BS831" s="218">
        <v>49.383827199999999</v>
      </c>
      <c r="BU831" s="218">
        <v>19.868249899999999</v>
      </c>
    </row>
    <row r="832" spans="1:73">
      <c r="A832" s="154" t="s">
        <v>7877</v>
      </c>
      <c r="B832" t="s">
        <v>259</v>
      </c>
      <c r="C832" t="s">
        <v>7988</v>
      </c>
      <c r="E832" s="113">
        <v>9</v>
      </c>
      <c r="F832" s="113">
        <v>49</v>
      </c>
      <c r="I832" s="253">
        <v>40</v>
      </c>
      <c r="S832" s="218">
        <v>1541.693696</v>
      </c>
      <c r="Y832" s="218">
        <v>671.84990210000001</v>
      </c>
      <c r="AA832" s="218">
        <v>76311.019639999999</v>
      </c>
      <c r="AC832" s="252">
        <v>32.042196089999997</v>
      </c>
      <c r="AG832" s="218">
        <v>4.1988950279999999</v>
      </c>
      <c r="AM832" s="218">
        <v>99</v>
      </c>
      <c r="BS832" s="218">
        <v>48.114482899999999</v>
      </c>
      <c r="BU832" s="218">
        <v>20.967660899999998</v>
      </c>
    </row>
    <row r="833" spans="1:73">
      <c r="A833" s="154" t="s">
        <v>7877</v>
      </c>
      <c r="B833" t="s">
        <v>259</v>
      </c>
      <c r="C833" t="s">
        <v>7989</v>
      </c>
      <c r="E833" s="113">
        <v>15</v>
      </c>
      <c r="F833" s="113">
        <v>30</v>
      </c>
      <c r="I833" s="253">
        <v>36</v>
      </c>
      <c r="S833" s="218">
        <v>1819.5460049999999</v>
      </c>
      <c r="Y833" s="218">
        <v>732.07213360000003</v>
      </c>
      <c r="AA833" s="218">
        <v>85230.549799999993</v>
      </c>
      <c r="AC833" s="252">
        <v>37.004860559999997</v>
      </c>
      <c r="AG833" s="218">
        <v>4.3417366949999998</v>
      </c>
      <c r="AM833" s="218">
        <v>92</v>
      </c>
      <c r="BS833" s="218">
        <v>49.170459700000002</v>
      </c>
      <c r="BU833" s="218">
        <v>19.783134499999999</v>
      </c>
    </row>
    <row r="834" spans="1:73">
      <c r="A834" s="154" t="s">
        <v>7878</v>
      </c>
      <c r="B834" t="s">
        <v>257</v>
      </c>
      <c r="C834" t="s">
        <v>405</v>
      </c>
      <c r="E834" s="113">
        <v>1</v>
      </c>
      <c r="F834" s="113">
        <v>25</v>
      </c>
      <c r="I834" s="253">
        <v>37</v>
      </c>
      <c r="S834" s="218">
        <v>1647.6310579999999</v>
      </c>
      <c r="Y834" s="218">
        <v>584.32652580000001</v>
      </c>
      <c r="AA834" s="218">
        <v>69817.706959999996</v>
      </c>
      <c r="AC834" s="252">
        <v>32.847027099999998</v>
      </c>
      <c r="AG834" s="218">
        <v>4.704684318</v>
      </c>
      <c r="AM834" s="218">
        <v>83</v>
      </c>
      <c r="BS834" s="218">
        <v>50.160736100000001</v>
      </c>
      <c r="BU834" s="218">
        <v>17.7893276</v>
      </c>
    </row>
    <row r="835" spans="1:73">
      <c r="A835" s="154" t="s">
        <v>7878</v>
      </c>
      <c r="B835" t="s">
        <v>257</v>
      </c>
      <c r="C835" t="s">
        <v>7987</v>
      </c>
      <c r="E835" s="113">
        <v>5</v>
      </c>
      <c r="F835" s="113">
        <v>49</v>
      </c>
      <c r="I835" s="253">
        <v>31</v>
      </c>
      <c r="S835" s="218">
        <v>1472.4197710000001</v>
      </c>
      <c r="Y835" s="218">
        <v>578.28967009999997</v>
      </c>
      <c r="AA835" s="218">
        <v>61580.308790000003</v>
      </c>
      <c r="AC835" s="252">
        <v>29.578947490000001</v>
      </c>
      <c r="AG835" s="218">
        <v>4.8033126289999997</v>
      </c>
      <c r="AM835" s="218">
        <v>87</v>
      </c>
      <c r="BS835" s="218">
        <v>49.7793159</v>
      </c>
      <c r="BU835" s="218">
        <v>19.5507183</v>
      </c>
    </row>
    <row r="836" spans="1:73">
      <c r="A836" s="154" t="s">
        <v>7878</v>
      </c>
      <c r="B836" t="s">
        <v>257</v>
      </c>
      <c r="C836" t="s">
        <v>7988</v>
      </c>
      <c r="E836" s="113">
        <v>10</v>
      </c>
      <c r="F836" s="113">
        <v>4</v>
      </c>
      <c r="I836" s="253">
        <v>29</v>
      </c>
      <c r="S836" s="218">
        <v>1094.1229960000001</v>
      </c>
      <c r="Y836" s="218">
        <v>402.08463920000003</v>
      </c>
      <c r="AA836" s="218">
        <v>46132.329989999998</v>
      </c>
      <c r="AC836" s="252">
        <v>22.219034069999999</v>
      </c>
      <c r="AG836" s="218">
        <v>4.8163693600000004</v>
      </c>
      <c r="AM836" s="218">
        <v>83</v>
      </c>
      <c r="BS836" s="218">
        <v>49.242599499999997</v>
      </c>
      <c r="BU836" s="218">
        <v>18.096405000000001</v>
      </c>
    </row>
    <row r="837" spans="1:73">
      <c r="A837" s="154" t="s">
        <v>7878</v>
      </c>
      <c r="B837" t="s">
        <v>257</v>
      </c>
      <c r="C837" t="s">
        <v>7989</v>
      </c>
      <c r="E837" s="113">
        <v>13</v>
      </c>
      <c r="F837" s="113">
        <v>64</v>
      </c>
      <c r="I837" s="253">
        <v>34</v>
      </c>
      <c r="S837" s="218">
        <v>1614.060639</v>
      </c>
      <c r="Y837" s="218">
        <v>603.80188050000004</v>
      </c>
      <c r="AA837" s="218">
        <v>70701.879379999998</v>
      </c>
      <c r="AC837" s="252">
        <v>32.745392340000002</v>
      </c>
      <c r="AG837" s="218">
        <v>4.6314741039999996</v>
      </c>
      <c r="AM837" s="218">
        <v>87</v>
      </c>
      <c r="BS837" s="218">
        <v>49.291229199999997</v>
      </c>
      <c r="BU837" s="218">
        <v>18.439292900000002</v>
      </c>
    </row>
    <row r="838" spans="1:73">
      <c r="A838" s="154" t="s">
        <v>7878</v>
      </c>
      <c r="B838" t="s">
        <v>259</v>
      </c>
      <c r="C838" t="s">
        <v>405</v>
      </c>
      <c r="E838" s="113">
        <v>4</v>
      </c>
      <c r="F838" s="113">
        <v>59</v>
      </c>
      <c r="I838" s="253">
        <v>37</v>
      </c>
      <c r="S838" s="218">
        <v>2185.9337230000001</v>
      </c>
      <c r="Y838" s="218">
        <v>790.16782769999998</v>
      </c>
      <c r="AA838" s="218">
        <v>90398.488979999995</v>
      </c>
      <c r="AC838" s="252">
        <v>43.744232459999999</v>
      </c>
      <c r="AG838" s="218">
        <v>4.8390446520000001</v>
      </c>
      <c r="AM838" s="218">
        <v>87</v>
      </c>
      <c r="BS838" s="218">
        <v>49.970787000000001</v>
      </c>
      <c r="BU838" s="218">
        <v>18.063360200000002</v>
      </c>
    </row>
    <row r="839" spans="1:73">
      <c r="A839" s="154" t="s">
        <v>7878</v>
      </c>
      <c r="B839" t="s">
        <v>259</v>
      </c>
      <c r="C839" t="s">
        <v>7987</v>
      </c>
      <c r="E839" s="113">
        <v>7</v>
      </c>
      <c r="F839" s="113">
        <v>6</v>
      </c>
      <c r="I839" s="253">
        <v>38</v>
      </c>
      <c r="S839" s="218">
        <v>1488.0745010000001</v>
      </c>
      <c r="Y839" s="218">
        <v>583.39180610000005</v>
      </c>
      <c r="AA839" s="218">
        <v>60047.060839999998</v>
      </c>
      <c r="AC839" s="252">
        <v>30.38368182</v>
      </c>
      <c r="AG839" s="218">
        <v>5.0599781899999998</v>
      </c>
      <c r="AM839" s="218">
        <v>83</v>
      </c>
      <c r="BS839" s="218">
        <v>48.976108600000003</v>
      </c>
      <c r="BU839" s="218">
        <v>19.200826599999999</v>
      </c>
    </row>
    <row r="840" spans="1:73">
      <c r="A840" s="154" t="s">
        <v>7878</v>
      </c>
      <c r="B840" t="s">
        <v>259</v>
      </c>
      <c r="C840" t="s">
        <v>7988</v>
      </c>
      <c r="E840" s="113">
        <v>11</v>
      </c>
      <c r="F840" s="113">
        <v>62</v>
      </c>
      <c r="I840" s="253">
        <v>37</v>
      </c>
      <c r="S840" s="218">
        <v>2291.147375</v>
      </c>
      <c r="Y840" s="218">
        <v>859.76620579999997</v>
      </c>
      <c r="AA840" s="218">
        <v>92593.735199999996</v>
      </c>
      <c r="AC840" s="252">
        <v>46.347135639999998</v>
      </c>
      <c r="AG840" s="218">
        <v>5.0054288820000004</v>
      </c>
      <c r="AM840" s="218">
        <v>89</v>
      </c>
      <c r="BS840" s="218">
        <v>49.434497800000003</v>
      </c>
      <c r="BU840" s="218">
        <v>18.5505791</v>
      </c>
    </row>
    <row r="841" spans="1:73">
      <c r="A841" s="154" t="s">
        <v>7878</v>
      </c>
      <c r="B841" t="s">
        <v>259</v>
      </c>
      <c r="C841" t="s">
        <v>7989</v>
      </c>
      <c r="E841" s="113">
        <v>13</v>
      </c>
      <c r="F841" s="113">
        <v>17</v>
      </c>
      <c r="I841" s="253">
        <v>37</v>
      </c>
      <c r="S841" s="218">
        <v>1678.6598899999999</v>
      </c>
      <c r="Y841" s="218">
        <v>656.92917790000001</v>
      </c>
      <c r="AA841" s="218">
        <v>72569.269209999999</v>
      </c>
      <c r="AC841" s="252">
        <v>34.028403500000003</v>
      </c>
      <c r="AG841" s="218">
        <v>4.6890927619999996</v>
      </c>
      <c r="AM841" s="218">
        <v>81</v>
      </c>
      <c r="BS841" s="218">
        <v>49.331138600000003</v>
      </c>
      <c r="BU841" s="218">
        <v>19.305318799999998</v>
      </c>
    </row>
    <row r="842" spans="1:73">
      <c r="A842" s="154" t="s">
        <v>7795</v>
      </c>
      <c r="B842" t="s">
        <v>257</v>
      </c>
      <c r="C842" t="s">
        <v>405</v>
      </c>
      <c r="E842" s="113">
        <v>3</v>
      </c>
      <c r="F842" s="113">
        <v>31</v>
      </c>
      <c r="I842" s="253">
        <v>41</v>
      </c>
      <c r="S842" s="218">
        <v>1232.7958249999999</v>
      </c>
      <c r="Y842" s="218">
        <v>449.75776500000001</v>
      </c>
      <c r="AA842" s="218">
        <v>54323.79206</v>
      </c>
      <c r="AC842" s="252">
        <v>24.344713070000001</v>
      </c>
      <c r="AG842" s="218">
        <v>4.4814090020000004</v>
      </c>
      <c r="AM842" s="218">
        <v>87</v>
      </c>
      <c r="BS842" s="218">
        <v>50.639160199999999</v>
      </c>
      <c r="BU842" s="218">
        <v>18.474556</v>
      </c>
    </row>
    <row r="843" spans="1:73">
      <c r="A843" s="154" t="s">
        <v>7795</v>
      </c>
      <c r="B843" t="s">
        <v>257</v>
      </c>
      <c r="C843" t="s">
        <v>7987</v>
      </c>
      <c r="E843" s="113">
        <v>7</v>
      </c>
      <c r="F843" s="113">
        <v>62</v>
      </c>
      <c r="I843" s="253">
        <v>29</v>
      </c>
      <c r="S843" s="218">
        <v>1177.05384</v>
      </c>
      <c r="Y843" s="218">
        <v>475.47393290000002</v>
      </c>
      <c r="AA843" s="218">
        <v>54393.175710000003</v>
      </c>
      <c r="AC843" s="252">
        <v>24.18637842</v>
      </c>
      <c r="AG843" s="218">
        <v>4.446583253</v>
      </c>
      <c r="AM843" s="218">
        <v>87</v>
      </c>
      <c r="BS843" s="218">
        <v>48.665981299999999</v>
      </c>
      <c r="BU843" s="218">
        <v>19.658748599999999</v>
      </c>
    </row>
    <row r="844" spans="1:73">
      <c r="A844" s="154" t="s">
        <v>7795</v>
      </c>
      <c r="B844" t="s">
        <v>257</v>
      </c>
      <c r="C844" t="s">
        <v>7988</v>
      </c>
      <c r="E844" s="113">
        <v>9</v>
      </c>
      <c r="F844" s="113">
        <v>2</v>
      </c>
      <c r="I844" s="253">
        <v>36</v>
      </c>
      <c r="S844" s="218">
        <v>865.45112300000005</v>
      </c>
      <c r="Y844" s="218">
        <v>348.51447760000002</v>
      </c>
      <c r="AA844" s="218">
        <v>36296.045530000003</v>
      </c>
      <c r="AC844" s="252">
        <v>17.956183200000002</v>
      </c>
      <c r="AG844" s="218">
        <v>4.9471458769999996</v>
      </c>
      <c r="AM844" s="218">
        <v>83</v>
      </c>
      <c r="BS844" s="218">
        <v>48.1979446</v>
      </c>
      <c r="BU844" s="218">
        <v>19.409162500000001</v>
      </c>
    </row>
    <row r="845" spans="1:73">
      <c r="A845" s="154" t="s">
        <v>7795</v>
      </c>
      <c r="B845" t="s">
        <v>257</v>
      </c>
      <c r="C845" t="s">
        <v>7989</v>
      </c>
      <c r="E845" s="113">
        <v>15</v>
      </c>
      <c r="F845" s="113">
        <v>63</v>
      </c>
      <c r="I845" s="253">
        <v>40</v>
      </c>
      <c r="S845" s="218">
        <v>1145.494019</v>
      </c>
      <c r="Y845" s="218">
        <v>437.29861160000002</v>
      </c>
      <c r="AA845" s="218">
        <v>50213.074370000002</v>
      </c>
      <c r="AC845" s="252">
        <v>23.332841519999999</v>
      </c>
      <c r="AG845" s="218">
        <v>4.6467661690000002</v>
      </c>
      <c r="AM845" s="218">
        <v>87</v>
      </c>
      <c r="BS845" s="218">
        <v>49.093635599999999</v>
      </c>
      <c r="BU845" s="218">
        <v>18.741764100000001</v>
      </c>
    </row>
    <row r="846" spans="1:73">
      <c r="A846" s="154" t="s">
        <v>7795</v>
      </c>
      <c r="B846" t="s">
        <v>259</v>
      </c>
      <c r="C846" t="s">
        <v>405</v>
      </c>
      <c r="E846" s="113">
        <v>3</v>
      </c>
      <c r="F846" s="113">
        <v>56</v>
      </c>
      <c r="I846" s="253">
        <v>38</v>
      </c>
      <c r="S846" s="218">
        <v>1337.2482219999999</v>
      </c>
      <c r="Y846" s="218">
        <v>530.34957729999996</v>
      </c>
      <c r="AA846" s="218">
        <v>60606.564440000002</v>
      </c>
      <c r="AC846" s="252">
        <v>26.916955560000002</v>
      </c>
      <c r="AG846" s="218">
        <v>4.4412607450000001</v>
      </c>
      <c r="AM846" s="218">
        <v>87</v>
      </c>
      <c r="BS846" s="218">
        <v>49.680515300000003</v>
      </c>
      <c r="BU846" s="218">
        <v>19.703178399999999</v>
      </c>
    </row>
    <row r="847" spans="1:73">
      <c r="A847" s="154" t="s">
        <v>7795</v>
      </c>
      <c r="B847" t="s">
        <v>259</v>
      </c>
      <c r="C847" t="s">
        <v>7987</v>
      </c>
      <c r="E847" s="113">
        <v>8</v>
      </c>
      <c r="F847" s="113">
        <v>6</v>
      </c>
      <c r="I847" s="253">
        <v>27</v>
      </c>
      <c r="S847" s="218">
        <v>1248.846057</v>
      </c>
      <c r="Y847" s="218">
        <v>534.77323149999995</v>
      </c>
      <c r="AA847" s="218">
        <v>59210.529990000003</v>
      </c>
      <c r="AC847" s="252">
        <v>25.733583339999999</v>
      </c>
      <c r="AG847" s="218">
        <v>4.346116028</v>
      </c>
      <c r="AM847" s="218">
        <v>83</v>
      </c>
      <c r="BS847" s="218">
        <v>48.5298157</v>
      </c>
      <c r="BU847" s="218">
        <v>20.781141300000002</v>
      </c>
    </row>
    <row r="848" spans="1:73">
      <c r="A848" s="154" t="s">
        <v>7795</v>
      </c>
      <c r="B848" t="s">
        <v>259</v>
      </c>
      <c r="C848" t="s">
        <v>7988</v>
      </c>
      <c r="E848" s="113">
        <v>12</v>
      </c>
      <c r="F848" s="113">
        <v>35</v>
      </c>
      <c r="I848" s="253">
        <v>39</v>
      </c>
      <c r="S848" s="218">
        <v>1626.0799770000001</v>
      </c>
      <c r="Y848" s="218">
        <v>694.98689979999995</v>
      </c>
      <c r="AA848" s="218">
        <v>73507.111499999999</v>
      </c>
      <c r="AC848" s="252">
        <v>33.724215999999998</v>
      </c>
      <c r="AG848" s="218">
        <v>4.5878848059999999</v>
      </c>
      <c r="AM848" s="218">
        <v>87</v>
      </c>
      <c r="BS848" s="218">
        <v>48.216983800000001</v>
      </c>
      <c r="BU848" s="218">
        <v>20.6079483</v>
      </c>
    </row>
    <row r="849" spans="1:73">
      <c r="A849" s="154" t="s">
        <v>7795</v>
      </c>
      <c r="B849" t="s">
        <v>259</v>
      </c>
      <c r="C849" t="s">
        <v>7989</v>
      </c>
      <c r="E849" s="113">
        <v>14</v>
      </c>
      <c r="F849" s="113">
        <v>10</v>
      </c>
      <c r="I849" s="253">
        <v>27</v>
      </c>
      <c r="S849" s="218">
        <v>1299.6521749999999</v>
      </c>
      <c r="Y849" s="218">
        <v>543.29338810000002</v>
      </c>
      <c r="AA849" s="218">
        <v>61178.500740000003</v>
      </c>
      <c r="AC849" s="252">
        <v>27.236197929999999</v>
      </c>
      <c r="AG849" s="218">
        <v>4.451923077</v>
      </c>
      <c r="AM849" s="218">
        <v>83</v>
      </c>
      <c r="BS849" s="218">
        <v>47.717826799999997</v>
      </c>
      <c r="BU849" s="218">
        <v>19.947475399999998</v>
      </c>
    </row>
    <row r="850" spans="1:73">
      <c r="A850" s="154" t="s">
        <v>7796</v>
      </c>
      <c r="B850" t="s">
        <v>257</v>
      </c>
      <c r="C850" t="s">
        <v>405</v>
      </c>
      <c r="E850" s="113">
        <v>4</v>
      </c>
      <c r="F850" s="113">
        <v>21</v>
      </c>
      <c r="I850" s="253">
        <v>38</v>
      </c>
      <c r="S850" s="218">
        <v>1612.4698840000001</v>
      </c>
      <c r="Y850" s="218">
        <v>614.16302240000005</v>
      </c>
      <c r="AA850" s="218">
        <v>57577.121650000001</v>
      </c>
      <c r="AC850" s="252">
        <v>32.780103609999998</v>
      </c>
      <c r="AG850" s="218">
        <v>5.6932515339999998</v>
      </c>
      <c r="AM850" s="218">
        <v>92</v>
      </c>
      <c r="BS850" s="218">
        <v>49.190505999999999</v>
      </c>
      <c r="BU850" s="218">
        <v>18.735847499999998</v>
      </c>
    </row>
    <row r="851" spans="1:73">
      <c r="A851" s="154" t="s">
        <v>7796</v>
      </c>
      <c r="B851" t="s">
        <v>257</v>
      </c>
      <c r="C851" t="s">
        <v>7987</v>
      </c>
      <c r="E851" s="113">
        <v>8</v>
      </c>
      <c r="F851" s="113">
        <v>56</v>
      </c>
      <c r="I851" s="253">
        <v>39</v>
      </c>
      <c r="S851" s="218">
        <v>1584.880805</v>
      </c>
      <c r="Y851" s="218">
        <v>577.56805250000002</v>
      </c>
      <c r="AA851" s="218">
        <v>58067.07071</v>
      </c>
      <c r="AC851" s="252">
        <v>31.617316020000001</v>
      </c>
      <c r="AG851" s="218">
        <v>5.4449648709999998</v>
      </c>
      <c r="AM851" s="218">
        <v>92</v>
      </c>
      <c r="BS851" s="218">
        <v>50.126987499999998</v>
      </c>
      <c r="BU851" s="218">
        <v>18.267459899999999</v>
      </c>
    </row>
    <row r="852" spans="1:73">
      <c r="A852" s="154" t="s">
        <v>7796</v>
      </c>
      <c r="B852" t="s">
        <v>257</v>
      </c>
      <c r="C852" t="s">
        <v>7988</v>
      </c>
      <c r="E852" s="113">
        <v>9</v>
      </c>
      <c r="F852" s="113">
        <v>32</v>
      </c>
      <c r="I852" s="253">
        <v>36</v>
      </c>
      <c r="S852" s="218">
        <v>1454.9077890000001</v>
      </c>
      <c r="Y852" s="218">
        <v>547.55596539999999</v>
      </c>
      <c r="AA852" s="218">
        <v>52463.650159999997</v>
      </c>
      <c r="AC852" s="252">
        <v>29.232513560000001</v>
      </c>
      <c r="AG852" s="218">
        <v>5.5719557200000001</v>
      </c>
      <c r="AM852" s="218">
        <v>92</v>
      </c>
      <c r="BS852" s="218">
        <v>49.770191199999999</v>
      </c>
      <c r="BU852" s="218">
        <v>18.731059999999999</v>
      </c>
    </row>
    <row r="853" spans="1:73">
      <c r="A853" s="154" t="s">
        <v>7796</v>
      </c>
      <c r="B853" t="s">
        <v>257</v>
      </c>
      <c r="C853" t="s">
        <v>7989</v>
      </c>
      <c r="E853" s="113">
        <v>13</v>
      </c>
      <c r="F853" s="113">
        <v>49</v>
      </c>
      <c r="I853" s="253">
        <v>39</v>
      </c>
      <c r="S853" s="218">
        <v>1610.096272</v>
      </c>
      <c r="Y853" s="218">
        <v>589.84337019999998</v>
      </c>
      <c r="AA853" s="218">
        <v>60081.76023</v>
      </c>
      <c r="AC853" s="252">
        <v>32.293079890000001</v>
      </c>
      <c r="AG853" s="218">
        <v>5.374855825</v>
      </c>
      <c r="AM853" s="218">
        <v>92</v>
      </c>
      <c r="BS853" s="218">
        <v>49.858863800000002</v>
      </c>
      <c r="BU853" s="218">
        <v>18.265317899999999</v>
      </c>
    </row>
    <row r="854" spans="1:73">
      <c r="A854" s="154" t="s">
        <v>7796</v>
      </c>
      <c r="B854" t="s">
        <v>259</v>
      </c>
      <c r="C854" t="s">
        <v>405</v>
      </c>
      <c r="E854" s="113">
        <v>2</v>
      </c>
      <c r="F854" s="113">
        <v>43</v>
      </c>
      <c r="I854" s="253">
        <v>40</v>
      </c>
      <c r="S854" s="218">
        <v>1618.5077719999999</v>
      </c>
      <c r="Y854" s="218">
        <v>601.11693920000005</v>
      </c>
      <c r="AA854" s="218">
        <v>58169.07415</v>
      </c>
      <c r="AC854" s="252">
        <v>32.245899799999997</v>
      </c>
      <c r="AG854" s="218">
        <v>5.5434782609999997</v>
      </c>
      <c r="AM854" s="218">
        <v>92</v>
      </c>
      <c r="BS854" s="218">
        <v>50.192668900000001</v>
      </c>
      <c r="BU854" s="218">
        <v>18.641655</v>
      </c>
    </row>
    <row r="855" spans="1:73">
      <c r="A855" s="154" t="s">
        <v>7796</v>
      </c>
      <c r="B855" t="s">
        <v>259</v>
      </c>
      <c r="C855" t="s">
        <v>7987</v>
      </c>
      <c r="E855" s="113">
        <v>7</v>
      </c>
      <c r="F855" s="113">
        <v>23</v>
      </c>
      <c r="I855" s="253">
        <v>39</v>
      </c>
      <c r="S855" s="218">
        <v>1726.421615</v>
      </c>
      <c r="Y855" s="218">
        <v>686.13767189999999</v>
      </c>
      <c r="AA855" s="218">
        <v>59399.441120000003</v>
      </c>
      <c r="AC855" s="252">
        <v>34.936447110000003</v>
      </c>
      <c r="AG855" s="218" t="s">
        <v>7956</v>
      </c>
      <c r="AM855" s="218">
        <v>92</v>
      </c>
      <c r="BS855" s="218">
        <v>49.416061399999997</v>
      </c>
      <c r="BU855" s="218">
        <v>19.639595</v>
      </c>
    </row>
    <row r="856" spans="1:73">
      <c r="A856" s="154" t="s">
        <v>7796</v>
      </c>
      <c r="B856" t="s">
        <v>259</v>
      </c>
      <c r="C856" t="s">
        <v>7988</v>
      </c>
      <c r="E856" s="113">
        <v>10</v>
      </c>
      <c r="F856" s="113">
        <v>52</v>
      </c>
      <c r="I856" s="253">
        <v>43</v>
      </c>
      <c r="S856" s="218">
        <v>1776.470554</v>
      </c>
      <c r="Y856" s="218">
        <v>640.40359009999997</v>
      </c>
      <c r="AA856" s="218">
        <v>62120.112050000003</v>
      </c>
      <c r="AC856" s="252">
        <v>35.335069830000002</v>
      </c>
      <c r="AG856" s="218">
        <v>5.6881851399999999</v>
      </c>
      <c r="AM856" s="218">
        <v>92</v>
      </c>
      <c r="BS856" s="218">
        <v>50.2749977</v>
      </c>
      <c r="BU856" s="218">
        <v>18.123739199999999</v>
      </c>
    </row>
    <row r="857" spans="1:73">
      <c r="A857" s="154" t="s">
        <v>7796</v>
      </c>
      <c r="B857" t="s">
        <v>259</v>
      </c>
      <c r="C857" t="s">
        <v>7989</v>
      </c>
      <c r="E857" s="113">
        <v>13</v>
      </c>
      <c r="F857" s="113">
        <v>13</v>
      </c>
      <c r="I857" s="253">
        <v>33</v>
      </c>
      <c r="S857" s="218">
        <v>1538.7999090000001</v>
      </c>
      <c r="Y857" s="218">
        <v>594.00265279999996</v>
      </c>
      <c r="AA857" s="218">
        <v>56075.537709999997</v>
      </c>
      <c r="AC857" s="252">
        <v>31.20549755</v>
      </c>
      <c r="AG857" s="218">
        <v>5.564903846</v>
      </c>
      <c r="AM857" s="218">
        <v>92</v>
      </c>
      <c r="BS857" s="218">
        <v>49.311821000000002</v>
      </c>
      <c r="BU857" s="218">
        <v>19.035192500000001</v>
      </c>
    </row>
    <row r="858" spans="1:73">
      <c r="A858" s="154" t="s">
        <v>7797</v>
      </c>
      <c r="B858" t="s">
        <v>257</v>
      </c>
      <c r="C858" t="s">
        <v>405</v>
      </c>
      <c r="E858" s="113">
        <v>2</v>
      </c>
      <c r="F858" s="113">
        <v>11</v>
      </c>
      <c r="I858" s="253">
        <v>38</v>
      </c>
      <c r="S858" s="218">
        <v>1678.361474</v>
      </c>
      <c r="Y858" s="218">
        <v>645.93160490000002</v>
      </c>
      <c r="AA858" s="218">
        <v>67460.100170000005</v>
      </c>
      <c r="AC858" s="252">
        <v>33.29199749</v>
      </c>
      <c r="AG858" s="218">
        <v>4.9350649349999998</v>
      </c>
      <c r="AM858" s="218">
        <v>101</v>
      </c>
      <c r="BS858" s="218">
        <v>50.413360599999997</v>
      </c>
      <c r="BU858" s="218">
        <v>19.4020081</v>
      </c>
    </row>
    <row r="859" spans="1:73">
      <c r="A859" s="154" t="s">
        <v>7797</v>
      </c>
      <c r="B859" t="s">
        <v>257</v>
      </c>
      <c r="C859" t="s">
        <v>7987</v>
      </c>
      <c r="E859" s="113">
        <v>6</v>
      </c>
      <c r="F859" s="113">
        <v>58</v>
      </c>
      <c r="I859" s="253">
        <v>44</v>
      </c>
      <c r="S859" s="218">
        <v>1593.9771029999999</v>
      </c>
      <c r="Y859" s="218">
        <v>606.75928620000002</v>
      </c>
      <c r="AA859" s="218">
        <v>60831.177000000003</v>
      </c>
      <c r="AC859" s="252">
        <v>32.03453829</v>
      </c>
      <c r="AG859" s="218">
        <v>5.2661381650000001</v>
      </c>
      <c r="AM859" s="218">
        <v>101</v>
      </c>
      <c r="BS859" s="218">
        <v>49.758079500000001</v>
      </c>
      <c r="BU859" s="218">
        <v>18.940784499999999</v>
      </c>
    </row>
    <row r="860" spans="1:73">
      <c r="A860" s="154" t="s">
        <v>7797</v>
      </c>
      <c r="B860" t="s">
        <v>257</v>
      </c>
      <c r="C860" t="s">
        <v>7988</v>
      </c>
      <c r="E860" s="113">
        <v>12</v>
      </c>
      <c r="F860" s="113">
        <v>10</v>
      </c>
      <c r="I860" s="253">
        <v>41</v>
      </c>
      <c r="S860" s="218">
        <v>1241.1907100000001</v>
      </c>
      <c r="Y860" s="218">
        <v>498.46547140000001</v>
      </c>
      <c r="AA860" s="218">
        <v>46993.385110000003</v>
      </c>
      <c r="AC860" s="252">
        <v>25.103071310000001</v>
      </c>
      <c r="AG860" s="218">
        <v>5.3418308229999996</v>
      </c>
      <c r="AM860" s="218">
        <v>101</v>
      </c>
      <c r="BS860" s="218">
        <v>49.443778999999999</v>
      </c>
      <c r="BU860" s="218">
        <v>19.856752400000001</v>
      </c>
    </row>
    <row r="861" spans="1:73">
      <c r="A861" s="154" t="s">
        <v>7797</v>
      </c>
      <c r="B861" t="s">
        <v>257</v>
      </c>
      <c r="C861" t="s">
        <v>7989</v>
      </c>
      <c r="E861" s="113">
        <v>13</v>
      </c>
      <c r="F861" s="113">
        <v>35</v>
      </c>
      <c r="I861" s="253">
        <v>37</v>
      </c>
      <c r="S861" s="218">
        <v>1467.4889069999999</v>
      </c>
      <c r="Y861" s="218">
        <v>605.17356359999997</v>
      </c>
      <c r="AA861" s="218">
        <v>56565.599999999999</v>
      </c>
      <c r="AC861" s="252">
        <v>29.88613333</v>
      </c>
      <c r="AG861" s="218">
        <v>5.2834467119999999</v>
      </c>
      <c r="AM861" s="218">
        <v>101</v>
      </c>
      <c r="BS861" s="218">
        <v>49.102668799999996</v>
      </c>
      <c r="BU861" s="218">
        <v>20.249309499999999</v>
      </c>
    </row>
    <row r="862" spans="1:73">
      <c r="A862" s="154" t="s">
        <v>7797</v>
      </c>
      <c r="B862" t="s">
        <v>259</v>
      </c>
      <c r="C862" t="s">
        <v>405</v>
      </c>
      <c r="E862" s="113">
        <v>2</v>
      </c>
      <c r="F862" s="113">
        <v>62</v>
      </c>
      <c r="I862" s="253">
        <v>38</v>
      </c>
      <c r="S862" s="218">
        <v>1634.6932959999999</v>
      </c>
      <c r="Y862" s="218">
        <v>637.82201710000004</v>
      </c>
      <c r="AA862" s="218">
        <v>64151.408280000003</v>
      </c>
      <c r="AC862" s="252">
        <v>33.255746770000002</v>
      </c>
      <c r="AG862" s="218">
        <v>5.1839464880000001</v>
      </c>
      <c r="AM862" s="218">
        <v>101</v>
      </c>
      <c r="BS862" s="218">
        <v>49.155212400000003</v>
      </c>
      <c r="BU862" s="218">
        <v>19.179302199999999</v>
      </c>
    </row>
    <row r="863" spans="1:73">
      <c r="A863" s="154" t="s">
        <v>7797</v>
      </c>
      <c r="B863" t="s">
        <v>259</v>
      </c>
      <c r="C863" t="s">
        <v>7987</v>
      </c>
      <c r="E863" s="113">
        <v>5</v>
      </c>
      <c r="F863" s="113">
        <v>23</v>
      </c>
      <c r="I863" s="253">
        <v>41</v>
      </c>
      <c r="S863" s="218">
        <v>1973.3348309999999</v>
      </c>
      <c r="Y863" s="218">
        <v>789.94414440000003</v>
      </c>
      <c r="AA863" s="218">
        <v>76179.349329999997</v>
      </c>
      <c r="AC863" s="252">
        <v>39.891213329999999</v>
      </c>
      <c r="AG863" s="218">
        <v>5.2364864860000004</v>
      </c>
      <c r="AM863" s="218">
        <v>101</v>
      </c>
      <c r="BS863" s="218">
        <v>49.467906999999997</v>
      </c>
      <c r="BU863" s="218">
        <v>19.8024597</v>
      </c>
    </row>
    <row r="864" spans="1:73">
      <c r="A864" s="154" t="s">
        <v>7797</v>
      </c>
      <c r="B864" t="s">
        <v>259</v>
      </c>
      <c r="C864" t="s">
        <v>7988</v>
      </c>
      <c r="E864" s="113">
        <v>11</v>
      </c>
      <c r="F864" s="113">
        <v>64</v>
      </c>
      <c r="I864" s="253">
        <v>42</v>
      </c>
      <c r="S864" s="218">
        <v>2035.4884890000001</v>
      </c>
      <c r="Y864" s="218">
        <v>819.73699999999997</v>
      </c>
      <c r="AA864" s="218">
        <v>78685.116869999998</v>
      </c>
      <c r="AC864" s="252">
        <v>41.262796809999998</v>
      </c>
      <c r="AG864" s="218">
        <v>5.2440408630000004</v>
      </c>
      <c r="AM864" s="218">
        <v>101</v>
      </c>
      <c r="BS864" s="218">
        <v>49.329872100000003</v>
      </c>
      <c r="BU864" s="218">
        <v>19.866249100000001</v>
      </c>
    </row>
    <row r="865" spans="1:73">
      <c r="A865" s="154" t="s">
        <v>7797</v>
      </c>
      <c r="B865" t="s">
        <v>259</v>
      </c>
      <c r="C865" t="s">
        <v>7989</v>
      </c>
      <c r="E865" s="113">
        <v>15</v>
      </c>
      <c r="F865" s="113">
        <v>22</v>
      </c>
      <c r="I865" s="253">
        <v>37</v>
      </c>
      <c r="S865" s="218">
        <v>1971.5981180000001</v>
      </c>
      <c r="Y865" s="218">
        <v>737.86085179999998</v>
      </c>
      <c r="AA865" s="218">
        <v>84205.528109999999</v>
      </c>
      <c r="AC865" s="252">
        <v>38.402325810000001</v>
      </c>
      <c r="AG865" s="218">
        <v>4.560546875</v>
      </c>
      <c r="AM865" s="218">
        <v>101</v>
      </c>
      <c r="BS865" s="218">
        <v>51.340591400000001</v>
      </c>
      <c r="BU865" s="218">
        <v>19.213962599999999</v>
      </c>
    </row>
    <row r="866" spans="1:73">
      <c r="A866" s="154" t="s">
        <v>7853</v>
      </c>
      <c r="B866" t="s">
        <v>257</v>
      </c>
      <c r="C866" t="s">
        <v>405</v>
      </c>
      <c r="E866" s="113">
        <v>2</v>
      </c>
      <c r="F866" s="113">
        <v>9</v>
      </c>
      <c r="I866" s="253">
        <v>36</v>
      </c>
      <c r="S866" s="218">
        <v>1375.2979230000001</v>
      </c>
      <c r="Y866" s="218">
        <v>481.32975699999997</v>
      </c>
      <c r="AA866" s="218">
        <v>63440.085630000001</v>
      </c>
      <c r="AC866" s="252">
        <v>27.112662289999999</v>
      </c>
      <c r="AG866" s="218">
        <v>4.2737430170000001</v>
      </c>
      <c r="AM866" s="218">
        <v>99</v>
      </c>
      <c r="BS866" s="218">
        <v>50.725299800000002</v>
      </c>
      <c r="BU866" s="218">
        <v>17.7529507</v>
      </c>
    </row>
    <row r="867" spans="1:73">
      <c r="A867" s="154" t="s">
        <v>7853</v>
      </c>
      <c r="B867" t="s">
        <v>257</v>
      </c>
      <c r="C867" t="s">
        <v>7987</v>
      </c>
      <c r="E867" s="113">
        <v>5</v>
      </c>
      <c r="F867" s="113">
        <v>40</v>
      </c>
      <c r="I867" s="253">
        <v>39</v>
      </c>
      <c r="S867" s="218" t="s">
        <v>7956</v>
      </c>
      <c r="Y867" s="218" t="s">
        <v>7956</v>
      </c>
      <c r="AA867" s="218" t="s">
        <v>7956</v>
      </c>
      <c r="AC867" s="252" t="s">
        <v>7956</v>
      </c>
      <c r="AG867" s="218">
        <v>4.8178980229999997</v>
      </c>
      <c r="AM867" s="218">
        <v>94</v>
      </c>
      <c r="BS867" s="218">
        <v>51.3959999</v>
      </c>
      <c r="BU867" s="218">
        <v>18.1482487</v>
      </c>
    </row>
    <row r="868" spans="1:73">
      <c r="A868" s="154" t="s">
        <v>7853</v>
      </c>
      <c r="B868" t="s">
        <v>257</v>
      </c>
      <c r="C868" t="s">
        <v>7988</v>
      </c>
      <c r="E868" s="113">
        <v>10</v>
      </c>
      <c r="F868" s="113">
        <v>19</v>
      </c>
      <c r="I868" s="253">
        <v>37</v>
      </c>
      <c r="S868" s="218">
        <v>1261.6333030000001</v>
      </c>
      <c r="Y868" s="218">
        <v>446.30234580000001</v>
      </c>
      <c r="AA868" s="218">
        <v>50369.312380000003</v>
      </c>
      <c r="AC868" s="252">
        <v>24.491011</v>
      </c>
      <c r="AG868" s="218">
        <v>4.8622881360000001</v>
      </c>
      <c r="AM868" s="218">
        <v>94</v>
      </c>
      <c r="BS868" s="218">
        <v>51.514137300000002</v>
      </c>
      <c r="BU868" s="218">
        <v>18.2231083</v>
      </c>
    </row>
    <row r="869" spans="1:73">
      <c r="A869" s="154" t="s">
        <v>7853</v>
      </c>
      <c r="B869" t="s">
        <v>257</v>
      </c>
      <c r="C869" t="s">
        <v>7989</v>
      </c>
      <c r="E869" s="113">
        <v>15</v>
      </c>
      <c r="F869" s="113">
        <v>53</v>
      </c>
      <c r="I869" s="253">
        <v>32</v>
      </c>
      <c r="S869" s="218">
        <v>1363.024686</v>
      </c>
      <c r="Y869" s="218">
        <v>484.1468223</v>
      </c>
      <c r="AA869" s="218">
        <v>55884.753089999998</v>
      </c>
      <c r="AC869" s="252">
        <v>26.622716050000001</v>
      </c>
      <c r="AG869" s="218">
        <v>4.7638603699999997</v>
      </c>
      <c r="AM869" s="218">
        <v>92</v>
      </c>
      <c r="BS869" s="218">
        <v>51.197807300000001</v>
      </c>
      <c r="BU869" s="218">
        <v>18.185478199999999</v>
      </c>
    </row>
    <row r="870" spans="1:73">
      <c r="A870" s="154" t="s">
        <v>7853</v>
      </c>
      <c r="B870" t="s">
        <v>259</v>
      </c>
      <c r="C870" t="s">
        <v>405</v>
      </c>
      <c r="E870" s="113">
        <v>1</v>
      </c>
      <c r="F870" s="113">
        <v>56</v>
      </c>
      <c r="I870" s="253">
        <v>38</v>
      </c>
      <c r="S870" s="218">
        <v>1407.1739789999999</v>
      </c>
      <c r="Y870" s="218">
        <v>519.45448199999998</v>
      </c>
      <c r="AA870" s="218">
        <v>61024.742720000002</v>
      </c>
      <c r="AC870" s="252">
        <v>27.82728268</v>
      </c>
      <c r="AG870" s="218">
        <v>4.5599999999999996</v>
      </c>
      <c r="AM870" s="218">
        <v>101</v>
      </c>
      <c r="BS870" s="218">
        <v>50.568141900000001</v>
      </c>
      <c r="BU870" s="218">
        <v>18.667093300000001</v>
      </c>
    </row>
    <row r="871" spans="1:73">
      <c r="A871" s="154" t="s">
        <v>7853</v>
      </c>
      <c r="B871" t="s">
        <v>259</v>
      </c>
      <c r="C871" t="s">
        <v>7987</v>
      </c>
      <c r="E871" s="113">
        <v>8</v>
      </c>
      <c r="F871" s="113">
        <v>1</v>
      </c>
      <c r="I871" s="253">
        <v>34</v>
      </c>
      <c r="S871" s="218">
        <v>1447.8747089999999</v>
      </c>
      <c r="Y871" s="218">
        <v>604.03582570000003</v>
      </c>
      <c r="AA871" s="218">
        <v>60685.128879999997</v>
      </c>
      <c r="AC871" s="252">
        <v>29.57601545</v>
      </c>
      <c r="AG871" s="218">
        <v>4.8736842109999996</v>
      </c>
      <c r="AM871" s="218">
        <v>101</v>
      </c>
      <c r="BS871" s="218">
        <v>48.954353300000001</v>
      </c>
      <c r="BU871" s="218">
        <v>20.423164400000001</v>
      </c>
    </row>
    <row r="872" spans="1:73">
      <c r="A872" s="154" t="s">
        <v>7853</v>
      </c>
      <c r="B872" t="s">
        <v>259</v>
      </c>
      <c r="C872" t="s">
        <v>7988</v>
      </c>
      <c r="E872" s="113">
        <v>12</v>
      </c>
      <c r="F872" s="113">
        <v>49</v>
      </c>
      <c r="I872" s="253">
        <v>40</v>
      </c>
      <c r="S872" s="218">
        <v>1614.7677639999999</v>
      </c>
      <c r="Y872" s="218">
        <v>659.24634330000004</v>
      </c>
      <c r="AA872" s="218">
        <v>68984.324859999993</v>
      </c>
      <c r="AC872" s="252">
        <v>32.948808649999997</v>
      </c>
      <c r="AG872" s="218">
        <v>4.7762747140000004</v>
      </c>
      <c r="AM872" s="218">
        <v>94</v>
      </c>
      <c r="BS872" s="218">
        <v>49.008380899999999</v>
      </c>
      <c r="BU872" s="218">
        <v>20.008199699999999</v>
      </c>
    </row>
    <row r="873" spans="1:73">
      <c r="A873" s="154" t="s">
        <v>7853</v>
      </c>
      <c r="B873" t="s">
        <v>259</v>
      </c>
      <c r="C873" t="s">
        <v>7989</v>
      </c>
      <c r="E873" s="113">
        <v>13</v>
      </c>
      <c r="F873" s="113">
        <v>28</v>
      </c>
      <c r="I873" s="253">
        <v>37</v>
      </c>
      <c r="S873" s="218">
        <v>1508.9612890000001</v>
      </c>
      <c r="Y873" s="218">
        <v>631.03327660000002</v>
      </c>
      <c r="AA873" s="218">
        <v>70450.64993</v>
      </c>
      <c r="AC873" s="252">
        <v>30.9849304</v>
      </c>
      <c r="AG873" s="218">
        <v>4.3981042649999997</v>
      </c>
      <c r="AM873" s="218">
        <v>101</v>
      </c>
      <c r="BS873" s="218">
        <v>48.699844400000003</v>
      </c>
      <c r="BU873" s="218">
        <v>20.365812300000002</v>
      </c>
    </row>
    <row r="874" spans="1:73">
      <c r="A874" s="154" t="s">
        <v>7879</v>
      </c>
      <c r="B874" t="s">
        <v>257</v>
      </c>
      <c r="C874" t="s">
        <v>405</v>
      </c>
      <c r="E874" s="113">
        <v>4</v>
      </c>
      <c r="F874" s="113">
        <v>28</v>
      </c>
      <c r="I874" s="253">
        <v>41</v>
      </c>
      <c r="S874" s="218">
        <v>1821.473369</v>
      </c>
      <c r="Y874" s="218">
        <v>722.40844240000001</v>
      </c>
      <c r="AA874" s="218">
        <v>74940.183489999996</v>
      </c>
      <c r="AC874" s="252">
        <v>36.68290494</v>
      </c>
      <c r="AG874" s="218">
        <v>4.8949579830000003</v>
      </c>
      <c r="AM874" s="218">
        <v>99</v>
      </c>
      <c r="BS874" s="218">
        <v>49.654556300000003</v>
      </c>
      <c r="BU874" s="218">
        <v>19.693327</v>
      </c>
    </row>
    <row r="875" spans="1:73">
      <c r="A875" s="154" t="s">
        <v>7879</v>
      </c>
      <c r="B875" t="s">
        <v>257</v>
      </c>
      <c r="C875" t="s">
        <v>7987</v>
      </c>
      <c r="E875" s="113">
        <v>5</v>
      </c>
      <c r="F875" s="113">
        <v>59</v>
      </c>
      <c r="I875" s="253">
        <v>40</v>
      </c>
      <c r="S875" s="218">
        <v>1440.066785</v>
      </c>
      <c r="Y875" s="218">
        <v>539.46844309999994</v>
      </c>
      <c r="AA875" s="218">
        <v>63488.28875</v>
      </c>
      <c r="AC875" s="252">
        <v>28.784680470000001</v>
      </c>
      <c r="AG875" s="218">
        <v>4.5338567220000003</v>
      </c>
      <c r="AM875" s="218">
        <v>94</v>
      </c>
      <c r="BS875" s="218">
        <v>50.028930699999997</v>
      </c>
      <c r="BU875" s="218">
        <v>18.7415123</v>
      </c>
    </row>
    <row r="876" spans="1:73">
      <c r="A876" s="154" t="s">
        <v>7879</v>
      </c>
      <c r="B876" t="s">
        <v>257</v>
      </c>
      <c r="C876" t="s">
        <v>7988</v>
      </c>
      <c r="E876" s="113">
        <v>10</v>
      </c>
      <c r="F876" s="113">
        <v>23</v>
      </c>
      <c r="I876" s="253">
        <v>38</v>
      </c>
      <c r="S876" s="218">
        <v>1446.2764079999999</v>
      </c>
      <c r="Y876" s="218">
        <v>522.55380890000004</v>
      </c>
      <c r="AA876" s="218">
        <v>58277.887410000003</v>
      </c>
      <c r="AC876" s="252">
        <v>28.56283556</v>
      </c>
      <c r="AG876" s="218">
        <v>4.9011446410000001</v>
      </c>
      <c r="AM876" s="218">
        <v>94</v>
      </c>
      <c r="BS876" s="218">
        <v>50.634903000000001</v>
      </c>
      <c r="BU876" s="218">
        <v>18.294885600000001</v>
      </c>
    </row>
    <row r="877" spans="1:73">
      <c r="A877" s="154" t="s">
        <v>7879</v>
      </c>
      <c r="B877" t="s">
        <v>257</v>
      </c>
      <c r="C877" t="s">
        <v>7989</v>
      </c>
      <c r="E877" s="113">
        <v>16</v>
      </c>
      <c r="F877" s="113">
        <v>63</v>
      </c>
      <c r="I877" s="253">
        <v>42</v>
      </c>
      <c r="S877" s="218">
        <v>1460.522438</v>
      </c>
      <c r="Y877" s="218">
        <v>555.21782819999999</v>
      </c>
      <c r="AA877" s="218">
        <v>60490.948060000002</v>
      </c>
      <c r="AC877" s="252">
        <v>29.209024759999998</v>
      </c>
      <c r="AG877" s="218">
        <v>4.8286604359999998</v>
      </c>
      <c r="AM877" s="218">
        <v>99</v>
      </c>
      <c r="BS877" s="218">
        <v>50.0024376</v>
      </c>
      <c r="BU877" s="218">
        <v>19.008434300000001</v>
      </c>
    </row>
    <row r="878" spans="1:73">
      <c r="A878" s="154" t="s">
        <v>7879</v>
      </c>
      <c r="B878" t="s">
        <v>259</v>
      </c>
      <c r="C878" t="s">
        <v>405</v>
      </c>
      <c r="E878" s="113">
        <v>3</v>
      </c>
      <c r="F878" s="113">
        <v>38</v>
      </c>
      <c r="I878" s="253">
        <v>37</v>
      </c>
      <c r="S878" s="218">
        <v>1540.3992370000001</v>
      </c>
      <c r="Y878" s="218">
        <v>622.43919860000005</v>
      </c>
      <c r="AA878" s="218">
        <v>63568.628850000001</v>
      </c>
      <c r="AC878" s="252">
        <v>31.41117946</v>
      </c>
      <c r="AG878" s="218">
        <v>4.941302028</v>
      </c>
      <c r="AM878" s="218">
        <v>101</v>
      </c>
      <c r="BS878" s="218">
        <v>49.039840699999999</v>
      </c>
      <c r="BU878" s="218">
        <v>19.8158493</v>
      </c>
    </row>
    <row r="879" spans="1:73">
      <c r="A879" s="154" t="s">
        <v>7879</v>
      </c>
      <c r="B879" t="s">
        <v>259</v>
      </c>
      <c r="C879" t="s">
        <v>7987</v>
      </c>
      <c r="E879" s="113">
        <v>8</v>
      </c>
      <c r="F879" s="113">
        <v>20</v>
      </c>
      <c r="I879" s="253">
        <v>32</v>
      </c>
      <c r="S879" s="218">
        <v>1621.7540759999999</v>
      </c>
      <c r="Y879" s="218">
        <v>649.4167238</v>
      </c>
      <c r="AA879" s="218">
        <v>66421.681169999996</v>
      </c>
      <c r="AC879" s="252">
        <v>33.13895565</v>
      </c>
      <c r="AG879" s="218">
        <v>4.9891774890000002</v>
      </c>
      <c r="AM879" s="218">
        <v>99</v>
      </c>
      <c r="BS879" s="218">
        <v>48.937995899999997</v>
      </c>
      <c r="BU879" s="218">
        <v>19.596776999999999</v>
      </c>
    </row>
    <row r="880" spans="1:73">
      <c r="A880" s="154" t="s">
        <v>7879</v>
      </c>
      <c r="B880" t="s">
        <v>259</v>
      </c>
      <c r="C880" t="s">
        <v>7988</v>
      </c>
      <c r="E880" s="113">
        <v>12</v>
      </c>
      <c r="F880" s="113">
        <v>39</v>
      </c>
      <c r="I880" s="253">
        <v>42</v>
      </c>
      <c r="S880" s="218">
        <v>2042.162311</v>
      </c>
      <c r="Y880" s="218">
        <v>839.8458498</v>
      </c>
      <c r="AA880" s="218">
        <v>85026.440239999996</v>
      </c>
      <c r="AC880" s="252">
        <v>41.743545210000001</v>
      </c>
      <c r="AG880" s="218">
        <v>4.9094781679999997</v>
      </c>
      <c r="AM880" s="218">
        <v>101</v>
      </c>
      <c r="BS880" s="218">
        <v>48.921630899999997</v>
      </c>
      <c r="BU880" s="218">
        <v>20.1191788</v>
      </c>
    </row>
    <row r="881" spans="1:73">
      <c r="A881" s="154" t="s">
        <v>7879</v>
      </c>
      <c r="B881" t="s">
        <v>259</v>
      </c>
      <c r="C881" t="s">
        <v>7989</v>
      </c>
      <c r="E881" s="113">
        <v>16</v>
      </c>
      <c r="F881" s="113">
        <v>6</v>
      </c>
      <c r="I881" s="253">
        <v>27</v>
      </c>
      <c r="S881" s="218">
        <v>1587.146495</v>
      </c>
      <c r="Y881" s="218">
        <v>689.28868809999994</v>
      </c>
      <c r="AA881" s="218">
        <v>65135.198940000002</v>
      </c>
      <c r="AC881" s="252">
        <v>32.813525249999998</v>
      </c>
      <c r="AG881" s="218">
        <v>5.0377562029999998</v>
      </c>
      <c r="AM881" s="218">
        <v>99</v>
      </c>
      <c r="BS881" s="218">
        <v>48.368667600000002</v>
      </c>
      <c r="BU881" s="218">
        <v>21.006236999999999</v>
      </c>
    </row>
    <row r="882" spans="1:73">
      <c r="A882" s="154" t="s">
        <v>7798</v>
      </c>
      <c r="B882" t="s">
        <v>257</v>
      </c>
      <c r="C882" t="s">
        <v>405</v>
      </c>
      <c r="E882" s="113">
        <v>1</v>
      </c>
      <c r="F882" s="113">
        <v>18</v>
      </c>
      <c r="I882" s="253">
        <v>34</v>
      </c>
      <c r="S882" s="218">
        <v>1638.0640860000001</v>
      </c>
      <c r="Y882" s="218">
        <v>596.99390749999998</v>
      </c>
      <c r="AA882" s="218">
        <v>69915.034060000005</v>
      </c>
      <c r="AC882" s="252">
        <v>32.754909249999997</v>
      </c>
      <c r="AG882" s="218">
        <v>4.6849593499999997</v>
      </c>
      <c r="AM882" s="218">
        <v>99</v>
      </c>
      <c r="BS882" s="218">
        <v>50.009727499999997</v>
      </c>
      <c r="BU882" s="218">
        <v>18.2260895</v>
      </c>
    </row>
    <row r="883" spans="1:73">
      <c r="A883" s="154" t="s">
        <v>7798</v>
      </c>
      <c r="B883" t="s">
        <v>257</v>
      </c>
      <c r="C883" t="s">
        <v>7987</v>
      </c>
      <c r="E883" s="113">
        <v>6</v>
      </c>
      <c r="F883" s="113">
        <v>55</v>
      </c>
      <c r="I883" s="253">
        <v>35</v>
      </c>
      <c r="S883" s="218">
        <v>1774.897835</v>
      </c>
      <c r="Y883" s="218">
        <v>660.64120519999994</v>
      </c>
      <c r="AA883" s="218">
        <v>77388.709870000006</v>
      </c>
      <c r="AC883" s="252">
        <v>35.717866090000001</v>
      </c>
      <c r="AG883" s="218">
        <v>4.615384615</v>
      </c>
      <c r="AM883" s="218">
        <v>101</v>
      </c>
      <c r="BS883" s="218">
        <v>49.692157700000003</v>
      </c>
      <c r="BU883" s="218">
        <v>18.4960995</v>
      </c>
    </row>
    <row r="884" spans="1:73">
      <c r="A884" s="154" t="s">
        <v>7798</v>
      </c>
      <c r="B884" t="s">
        <v>257</v>
      </c>
      <c r="C884" t="s">
        <v>7988</v>
      </c>
      <c r="E884" s="113">
        <v>10</v>
      </c>
      <c r="F884" s="113">
        <v>16</v>
      </c>
      <c r="I884" s="253">
        <v>35</v>
      </c>
      <c r="S884" s="218">
        <v>1393.293639</v>
      </c>
      <c r="Y884" s="218">
        <v>510.77052379999998</v>
      </c>
      <c r="AA884" s="218">
        <v>55678.130080000003</v>
      </c>
      <c r="AC884" s="252">
        <v>27.688583609999998</v>
      </c>
      <c r="AG884" s="218">
        <v>4.9729729730000001</v>
      </c>
      <c r="AM884" s="218">
        <v>99</v>
      </c>
      <c r="BS884" s="218">
        <v>50.320148500000002</v>
      </c>
      <c r="BU884" s="218">
        <v>18.446971900000001</v>
      </c>
    </row>
    <row r="885" spans="1:73">
      <c r="A885" s="154" t="s">
        <v>7798</v>
      </c>
      <c r="B885" t="s">
        <v>257</v>
      </c>
      <c r="C885" t="s">
        <v>7989</v>
      </c>
      <c r="E885" s="113">
        <v>15</v>
      </c>
      <c r="F885" s="113">
        <v>38</v>
      </c>
      <c r="I885" s="253">
        <v>44</v>
      </c>
      <c r="S885" s="218">
        <v>1604.033295</v>
      </c>
      <c r="Y885" s="218">
        <v>573.85627810000005</v>
      </c>
      <c r="AA885" s="218">
        <v>67638.163669999994</v>
      </c>
      <c r="AC885" s="252">
        <v>32.017245510000002</v>
      </c>
      <c r="AG885" s="218">
        <v>4.7336065569999999</v>
      </c>
      <c r="AM885" s="218">
        <v>101</v>
      </c>
      <c r="BS885" s="218">
        <v>50.099041</v>
      </c>
      <c r="BU885" s="218">
        <v>17.923349399999999</v>
      </c>
    </row>
    <row r="886" spans="1:73">
      <c r="A886" s="154" t="s">
        <v>7798</v>
      </c>
      <c r="B886" t="s">
        <v>259</v>
      </c>
      <c r="C886" t="s">
        <v>405</v>
      </c>
      <c r="E886" s="113">
        <v>3</v>
      </c>
      <c r="F886" s="113">
        <v>36</v>
      </c>
      <c r="I886" s="253">
        <v>42</v>
      </c>
      <c r="S886" s="218">
        <v>1878.103732</v>
      </c>
      <c r="Y886" s="218">
        <v>677.06755989999999</v>
      </c>
      <c r="AA886" s="218">
        <v>81615.903040000005</v>
      </c>
      <c r="AC886" s="252">
        <v>37.531991089999998</v>
      </c>
      <c r="AG886" s="218">
        <v>4.5986124879999997</v>
      </c>
      <c r="AM886" s="218">
        <v>101</v>
      </c>
      <c r="BS886" s="218">
        <v>50.040077199999999</v>
      </c>
      <c r="BU886" s="218">
        <v>18.0397453</v>
      </c>
    </row>
    <row r="887" spans="1:73">
      <c r="A887" s="154" t="s">
        <v>7798</v>
      </c>
      <c r="B887" t="s">
        <v>259</v>
      </c>
      <c r="C887" t="s">
        <v>7987</v>
      </c>
      <c r="E887" s="113">
        <v>5</v>
      </c>
      <c r="F887" s="113">
        <v>10</v>
      </c>
      <c r="I887" s="253">
        <v>30</v>
      </c>
      <c r="S887" s="218">
        <v>1934.6844960000001</v>
      </c>
      <c r="Y887" s="218">
        <v>728.30464840000002</v>
      </c>
      <c r="AA887" s="218">
        <v>79685.48792</v>
      </c>
      <c r="AC887" s="252">
        <v>39.218249540000002</v>
      </c>
      <c r="AG887" s="218">
        <v>4.9216300940000002</v>
      </c>
      <c r="AM887" s="218">
        <v>99</v>
      </c>
      <c r="BS887" s="218">
        <v>49.3312302</v>
      </c>
      <c r="BU887" s="218">
        <v>18.570554699999999</v>
      </c>
    </row>
    <row r="888" spans="1:73">
      <c r="A888" s="154" t="s">
        <v>7798</v>
      </c>
      <c r="B888" t="s">
        <v>259</v>
      </c>
      <c r="C888" t="s">
        <v>7988</v>
      </c>
      <c r="E888" s="113">
        <v>9</v>
      </c>
      <c r="F888" s="113">
        <v>45</v>
      </c>
      <c r="I888" s="253">
        <v>35</v>
      </c>
      <c r="S888" s="218">
        <v>1992.5768109999999</v>
      </c>
      <c r="Y888" s="218">
        <v>784.98197760000005</v>
      </c>
      <c r="AA888" s="218">
        <v>89540.500289999996</v>
      </c>
      <c r="AC888" s="252">
        <v>40.829051069999998</v>
      </c>
      <c r="AG888" s="218">
        <v>4.5598417409999996</v>
      </c>
      <c r="AM888" s="218">
        <v>101</v>
      </c>
      <c r="BS888" s="218">
        <v>48.8029175</v>
      </c>
      <c r="BU888" s="218">
        <v>19.226064699999998</v>
      </c>
    </row>
    <row r="889" spans="1:73">
      <c r="A889" s="154" t="s">
        <v>7798</v>
      </c>
      <c r="B889" t="s">
        <v>259</v>
      </c>
      <c r="C889" t="s">
        <v>7989</v>
      </c>
      <c r="E889" s="113">
        <v>13</v>
      </c>
      <c r="F889" s="113">
        <v>22</v>
      </c>
      <c r="I889" s="253">
        <v>38</v>
      </c>
      <c r="S889" s="218">
        <v>1858.50683</v>
      </c>
      <c r="Y889" s="218">
        <v>813.43713879999996</v>
      </c>
      <c r="AA889" s="218">
        <v>83955.831409999999</v>
      </c>
      <c r="AC889" s="252">
        <v>39.662796530000001</v>
      </c>
      <c r="AG889" s="218">
        <v>4.7242455779999997</v>
      </c>
      <c r="AM889" s="218">
        <v>101</v>
      </c>
      <c r="BS889" s="218">
        <v>46.857685099999998</v>
      </c>
      <c r="BU889" s="218">
        <v>20.508819599999999</v>
      </c>
    </row>
    <row r="890" spans="1:73">
      <c r="A890" s="154" t="s">
        <v>7854</v>
      </c>
      <c r="B890" t="s">
        <v>257</v>
      </c>
      <c r="C890" t="s">
        <v>405</v>
      </c>
      <c r="E890" s="113">
        <v>2</v>
      </c>
      <c r="F890" s="113">
        <v>30</v>
      </c>
      <c r="I890" s="253">
        <v>35</v>
      </c>
      <c r="S890" s="218">
        <v>1726.165878</v>
      </c>
      <c r="Y890" s="218">
        <v>445.92394050000001</v>
      </c>
      <c r="AA890" s="218">
        <v>78520.788990000001</v>
      </c>
      <c r="AC890" s="252">
        <v>31.463033920000001</v>
      </c>
      <c r="AG890" s="218">
        <v>4.0069686410000003</v>
      </c>
      <c r="AM890" s="218">
        <v>81</v>
      </c>
      <c r="BS890" s="218">
        <v>54.863300299999999</v>
      </c>
      <c r="BU890" s="218" t="s">
        <v>7956</v>
      </c>
    </row>
    <row r="891" spans="1:73">
      <c r="A891" s="154" t="s">
        <v>7854</v>
      </c>
      <c r="B891" t="s">
        <v>257</v>
      </c>
      <c r="C891" t="s">
        <v>7987</v>
      </c>
      <c r="E891" s="113">
        <v>6</v>
      </c>
      <c r="F891" s="113">
        <v>42</v>
      </c>
      <c r="I891" s="253">
        <v>35</v>
      </c>
      <c r="S891" s="218">
        <v>2247.7350219999998</v>
      </c>
      <c r="Y891" s="218">
        <v>618.98607019999997</v>
      </c>
      <c r="AA891" s="218">
        <v>101889.91009999999</v>
      </c>
      <c r="AC891" s="252">
        <v>41.041469910000004</v>
      </c>
      <c r="AG891" s="218">
        <v>4.0280210160000003</v>
      </c>
      <c r="AM891" s="218">
        <v>81</v>
      </c>
      <c r="BS891" s="218">
        <v>54.767410300000002</v>
      </c>
      <c r="BU891" s="218" t="s">
        <v>7956</v>
      </c>
    </row>
    <row r="892" spans="1:73">
      <c r="A892" s="154" t="s">
        <v>7854</v>
      </c>
      <c r="B892" t="s">
        <v>257</v>
      </c>
      <c r="C892" t="s">
        <v>7988</v>
      </c>
      <c r="E892" s="113">
        <v>12</v>
      </c>
      <c r="F892" s="113">
        <v>8</v>
      </c>
      <c r="I892" s="253">
        <v>26</v>
      </c>
      <c r="S892" s="218">
        <v>1858.3120409999999</v>
      </c>
      <c r="Y892" s="218">
        <v>522.79789259999995</v>
      </c>
      <c r="AA892" s="218">
        <v>81084.810379999995</v>
      </c>
      <c r="AC892" s="252">
        <v>33.962994010000003</v>
      </c>
      <c r="AG892" s="218">
        <v>4.1885766090000001</v>
      </c>
      <c r="AM892" s="218">
        <v>81</v>
      </c>
      <c r="BS892" s="218">
        <v>54.715789800000003</v>
      </c>
      <c r="BU892" s="218">
        <v>15.3931627</v>
      </c>
    </row>
    <row r="893" spans="1:73">
      <c r="A893" s="154" t="s">
        <v>7854</v>
      </c>
      <c r="B893" t="s">
        <v>257</v>
      </c>
      <c r="C893" t="s">
        <v>7989</v>
      </c>
      <c r="E893" s="113">
        <v>14</v>
      </c>
      <c r="F893" s="113">
        <v>50</v>
      </c>
      <c r="I893" s="253">
        <v>40</v>
      </c>
      <c r="S893" s="218">
        <v>1986.001608</v>
      </c>
      <c r="Y893" s="218">
        <v>559.74522309999998</v>
      </c>
      <c r="AA893" s="218">
        <v>85765.74768</v>
      </c>
      <c r="AC893" s="252">
        <v>36.423203190000002</v>
      </c>
      <c r="AG893" s="218">
        <v>4.2468239560000001</v>
      </c>
      <c r="AM893" s="218">
        <v>81</v>
      </c>
      <c r="BS893" s="218">
        <v>54.525726300000002</v>
      </c>
      <c r="BU893" s="218">
        <v>15.367819799999999</v>
      </c>
    </row>
    <row r="894" spans="1:73">
      <c r="A894" s="154" t="s">
        <v>7854</v>
      </c>
      <c r="B894" t="s">
        <v>259</v>
      </c>
      <c r="C894" t="s">
        <v>405</v>
      </c>
      <c r="E894" s="113">
        <v>2</v>
      </c>
      <c r="F894" s="113">
        <v>59</v>
      </c>
      <c r="I894" s="253">
        <v>34</v>
      </c>
      <c r="S894" s="218">
        <v>2108.403761</v>
      </c>
      <c r="Y894" s="218">
        <v>589.30154200000004</v>
      </c>
      <c r="AA894" s="218">
        <v>93814.600640000004</v>
      </c>
      <c r="AC894" s="252">
        <v>38.496624699999998</v>
      </c>
      <c r="AG894" s="218">
        <v>4.1034790369999996</v>
      </c>
      <c r="AM894" s="218">
        <v>81</v>
      </c>
      <c r="BS894" s="218">
        <v>54.7685356</v>
      </c>
      <c r="BU894" s="218" t="s">
        <v>7956</v>
      </c>
    </row>
    <row r="895" spans="1:73">
      <c r="A895" s="154" t="s">
        <v>7854</v>
      </c>
      <c r="B895" t="s">
        <v>259</v>
      </c>
      <c r="C895" t="s">
        <v>7987</v>
      </c>
      <c r="E895" s="113">
        <v>7</v>
      </c>
      <c r="F895" s="113">
        <v>27</v>
      </c>
      <c r="I895" s="253">
        <v>33</v>
      </c>
      <c r="S895" s="218">
        <v>2551.887866</v>
      </c>
      <c r="Y895" s="218">
        <v>724.72888169999999</v>
      </c>
      <c r="AA895" s="218">
        <v>110861.90579999999</v>
      </c>
      <c r="AC895" s="252">
        <v>47.297063059999999</v>
      </c>
      <c r="AG895" s="218">
        <v>4.2663043480000002</v>
      </c>
      <c r="AM895" s="218">
        <v>81</v>
      </c>
      <c r="BS895" s="218">
        <v>53.954467800000003</v>
      </c>
      <c r="BU895" s="218">
        <v>15.322915099999999</v>
      </c>
    </row>
    <row r="896" spans="1:73">
      <c r="A896" s="154" t="s">
        <v>7854</v>
      </c>
      <c r="B896" t="s">
        <v>259</v>
      </c>
      <c r="C896" t="s">
        <v>7988</v>
      </c>
      <c r="E896" s="113">
        <v>10</v>
      </c>
      <c r="F896" s="113">
        <v>45</v>
      </c>
      <c r="I896" s="253">
        <v>41</v>
      </c>
      <c r="S896" s="218">
        <v>2313.4883909999999</v>
      </c>
      <c r="Y896" s="218">
        <v>694.67035569999996</v>
      </c>
      <c r="AA896" s="218">
        <v>101031.72410000001</v>
      </c>
      <c r="AC896" s="252">
        <v>42.822620690000001</v>
      </c>
      <c r="AG896" s="218">
        <v>4.2385321100000004</v>
      </c>
      <c r="AM896" s="218">
        <v>81</v>
      </c>
      <c r="BS896" s="218">
        <v>54.0249138</v>
      </c>
      <c r="BU896" s="218">
        <v>16.222042099999999</v>
      </c>
    </row>
    <row r="897" spans="1:73">
      <c r="A897" s="154" t="s">
        <v>7854</v>
      </c>
      <c r="B897" t="s">
        <v>259</v>
      </c>
      <c r="C897" t="s">
        <v>7989</v>
      </c>
      <c r="E897" s="113">
        <v>15</v>
      </c>
      <c r="F897" s="113">
        <v>1</v>
      </c>
      <c r="I897" s="253">
        <v>28</v>
      </c>
      <c r="S897" s="218">
        <v>2098.6377849999999</v>
      </c>
      <c r="Y897" s="218">
        <v>596.06519730000002</v>
      </c>
      <c r="AA897" s="218">
        <v>102107.611</v>
      </c>
      <c r="AC897" s="252">
        <v>38.807791330000001</v>
      </c>
      <c r="AG897" s="218">
        <v>3.800675676</v>
      </c>
      <c r="AM897" s="218">
        <v>81</v>
      </c>
      <c r="BS897" s="218">
        <v>54.077743499999997</v>
      </c>
      <c r="BU897" s="218">
        <v>15.359420800000001</v>
      </c>
    </row>
    <row r="898" spans="1:73">
      <c r="A898" s="154" t="s">
        <v>7799</v>
      </c>
      <c r="B898" t="s">
        <v>257</v>
      </c>
      <c r="C898" t="s">
        <v>405</v>
      </c>
      <c r="E898" s="113">
        <v>3</v>
      </c>
      <c r="F898" s="113">
        <v>5</v>
      </c>
      <c r="I898" s="253">
        <v>36</v>
      </c>
      <c r="S898" s="218">
        <v>1575.754318</v>
      </c>
      <c r="Y898" s="218">
        <v>571.59274640000001</v>
      </c>
      <c r="AA898" s="218">
        <v>66026.334669999997</v>
      </c>
      <c r="AC898" s="252">
        <v>31.772589020000002</v>
      </c>
      <c r="AG898" s="218">
        <v>4.8121085590000003</v>
      </c>
      <c r="AM898" s="218">
        <v>99</v>
      </c>
      <c r="BS898" s="218">
        <v>49.594772300000002</v>
      </c>
      <c r="BU898" s="218">
        <v>17.990121800000001</v>
      </c>
    </row>
    <row r="899" spans="1:73">
      <c r="A899" s="154" t="s">
        <v>7799</v>
      </c>
      <c r="B899" t="s">
        <v>257</v>
      </c>
      <c r="C899" t="s">
        <v>7987</v>
      </c>
      <c r="E899" s="113">
        <v>6</v>
      </c>
      <c r="F899" s="113">
        <v>61</v>
      </c>
      <c r="I899" s="253">
        <v>40</v>
      </c>
      <c r="S899" s="218">
        <v>1573.1083779999999</v>
      </c>
      <c r="Y899" s="218">
        <v>561.86441219999995</v>
      </c>
      <c r="AA899" s="218">
        <v>68038.98934</v>
      </c>
      <c r="AC899" s="252">
        <v>31.89327625</v>
      </c>
      <c r="AG899" s="218">
        <v>4.6875</v>
      </c>
      <c r="AM899" s="218">
        <v>99</v>
      </c>
      <c r="BS899" s="218">
        <v>49.324138599999998</v>
      </c>
      <c r="BU899" s="218">
        <v>17.617017700000002</v>
      </c>
    </row>
    <row r="900" spans="1:73">
      <c r="A900" s="154" t="s">
        <v>7799</v>
      </c>
      <c r="B900" t="s">
        <v>257</v>
      </c>
      <c r="C900" t="s">
        <v>7988</v>
      </c>
      <c r="E900" s="113">
        <v>12</v>
      </c>
      <c r="F900" s="113">
        <v>27</v>
      </c>
      <c r="I900" s="253">
        <v>39</v>
      </c>
      <c r="S900" s="218">
        <v>2080.01253</v>
      </c>
      <c r="Y900" s="218">
        <v>728.46570640000004</v>
      </c>
      <c r="AA900" s="218">
        <v>87249.158320000002</v>
      </c>
      <c r="AC900" s="252">
        <v>41.436366550000002</v>
      </c>
      <c r="AG900" s="218">
        <v>4.7491995730000003</v>
      </c>
      <c r="AM900" s="218">
        <v>94</v>
      </c>
      <c r="BS900" s="218">
        <v>50.197753900000002</v>
      </c>
      <c r="BU900" s="218">
        <v>17.580347100000001</v>
      </c>
    </row>
    <row r="901" spans="1:73">
      <c r="A901" s="154" t="s">
        <v>7799</v>
      </c>
      <c r="B901" t="s">
        <v>257</v>
      </c>
      <c r="C901" t="s">
        <v>7989</v>
      </c>
      <c r="E901" s="113">
        <v>13</v>
      </c>
      <c r="F901" s="113">
        <v>59</v>
      </c>
      <c r="I901" s="253">
        <v>32</v>
      </c>
      <c r="S901" s="218">
        <v>1682.590796</v>
      </c>
      <c r="Y901" s="218">
        <v>621.49986769999998</v>
      </c>
      <c r="AA901" s="218">
        <v>77227.259000000005</v>
      </c>
      <c r="AC901" s="252">
        <v>34.04721163</v>
      </c>
      <c r="AG901" s="218">
        <v>4.4087038789999999</v>
      </c>
      <c r="AM901" s="218">
        <v>99</v>
      </c>
      <c r="BS901" s="218">
        <v>49.419342</v>
      </c>
      <c r="BU901" s="218">
        <v>18.2540607</v>
      </c>
    </row>
    <row r="902" spans="1:73">
      <c r="A902" s="154" t="s">
        <v>7799</v>
      </c>
      <c r="B902" t="s">
        <v>259</v>
      </c>
      <c r="C902" t="s">
        <v>405</v>
      </c>
      <c r="E902" s="113">
        <v>1</v>
      </c>
      <c r="F902" s="113">
        <v>51</v>
      </c>
      <c r="I902" s="253">
        <v>34</v>
      </c>
      <c r="S902" s="218">
        <v>1507.774341</v>
      </c>
      <c r="Y902" s="218">
        <v>574.27989249999996</v>
      </c>
      <c r="AA902" s="218">
        <v>64626.75733</v>
      </c>
      <c r="AC902" s="252">
        <v>30.1460179</v>
      </c>
      <c r="AG902" s="218">
        <v>4.664634146</v>
      </c>
      <c r="AM902" s="218">
        <v>101</v>
      </c>
      <c r="BS902" s="218">
        <v>50.015705099999998</v>
      </c>
      <c r="BU902" s="218">
        <v>19.049942000000001</v>
      </c>
    </row>
    <row r="903" spans="1:73">
      <c r="A903" s="154" t="s">
        <v>7799</v>
      </c>
      <c r="B903" t="s">
        <v>259</v>
      </c>
      <c r="C903" t="s">
        <v>7987</v>
      </c>
      <c r="E903" s="113">
        <v>7</v>
      </c>
      <c r="F903" s="113">
        <v>18</v>
      </c>
      <c r="I903" s="253">
        <v>27</v>
      </c>
      <c r="S903" s="218">
        <v>2008.442059</v>
      </c>
      <c r="Y903" s="218">
        <v>762.60489459999997</v>
      </c>
      <c r="AA903" s="218">
        <v>88664.98805</v>
      </c>
      <c r="AC903" s="252">
        <v>40.683729079999999</v>
      </c>
      <c r="AG903" s="218">
        <v>4.5884773660000002</v>
      </c>
      <c r="AM903" s="218">
        <v>99</v>
      </c>
      <c r="BS903" s="218">
        <v>49.367206600000003</v>
      </c>
      <c r="BU903" s="218">
        <v>18.744714699999999</v>
      </c>
    </row>
    <row r="904" spans="1:73">
      <c r="A904" s="154" t="s">
        <v>7799</v>
      </c>
      <c r="B904" t="s">
        <v>259</v>
      </c>
      <c r="C904" t="s">
        <v>7988</v>
      </c>
      <c r="E904" s="113">
        <v>12</v>
      </c>
      <c r="F904" s="113">
        <v>37</v>
      </c>
      <c r="I904" s="253">
        <v>36</v>
      </c>
      <c r="S904" s="218">
        <v>1986.154403</v>
      </c>
      <c r="Y904" s="218">
        <v>806.05206829999997</v>
      </c>
      <c r="AA904" s="218">
        <v>85700.846309999994</v>
      </c>
      <c r="AC904" s="252">
        <v>41.283270790000003</v>
      </c>
      <c r="AG904" s="218">
        <v>4.8171368860000001</v>
      </c>
      <c r="AM904" s="218">
        <v>101</v>
      </c>
      <c r="BS904" s="218">
        <v>48.110393500000001</v>
      </c>
      <c r="BU904" s="218">
        <v>19.524908100000001</v>
      </c>
    </row>
    <row r="905" spans="1:73">
      <c r="A905" s="154" t="s">
        <v>7799</v>
      </c>
      <c r="B905" t="s">
        <v>259</v>
      </c>
      <c r="C905" t="s">
        <v>7989</v>
      </c>
      <c r="E905" s="113">
        <v>13</v>
      </c>
      <c r="F905" s="113">
        <v>4</v>
      </c>
      <c r="I905" s="253">
        <v>40</v>
      </c>
      <c r="S905" s="218">
        <v>2040.046701</v>
      </c>
      <c r="Y905" s="218">
        <v>810.59455089999994</v>
      </c>
      <c r="AA905" s="218">
        <v>88343.882769999997</v>
      </c>
      <c r="AC905" s="252">
        <v>42.042627289999999</v>
      </c>
      <c r="AG905" s="218">
        <v>4.7589743589999998</v>
      </c>
      <c r="AM905" s="218">
        <v>99</v>
      </c>
      <c r="BS905" s="218">
        <v>48.523292499999997</v>
      </c>
      <c r="BU905" s="218">
        <v>19.280301999999999</v>
      </c>
    </row>
    <row r="906" spans="1:73">
      <c r="A906" s="154" t="s">
        <v>7800</v>
      </c>
      <c r="B906" t="s">
        <v>257</v>
      </c>
      <c r="C906" t="s">
        <v>405</v>
      </c>
      <c r="E906" s="113">
        <v>1</v>
      </c>
      <c r="F906" s="113">
        <v>20</v>
      </c>
      <c r="I906" s="253">
        <v>31</v>
      </c>
      <c r="S906" s="218">
        <v>1364.520606</v>
      </c>
      <c r="Y906" s="218">
        <v>556.10726599999998</v>
      </c>
      <c r="AA906" s="218">
        <v>56046.980080000001</v>
      </c>
      <c r="AC906" s="252">
        <v>27.841912350000001</v>
      </c>
      <c r="AG906" s="218">
        <v>4.9676025920000004</v>
      </c>
      <c r="AM906" s="218">
        <v>89</v>
      </c>
      <c r="BS906" s="218">
        <v>49.009586300000002</v>
      </c>
      <c r="BU906" s="218">
        <v>19.973745300000001</v>
      </c>
    </row>
    <row r="907" spans="1:73">
      <c r="A907" s="154" t="s">
        <v>7800</v>
      </c>
      <c r="B907" t="s">
        <v>257</v>
      </c>
      <c r="C907" t="s">
        <v>7987</v>
      </c>
      <c r="E907" s="113">
        <v>8</v>
      </c>
      <c r="F907" s="113">
        <v>63</v>
      </c>
      <c r="I907" s="253">
        <v>29</v>
      </c>
      <c r="S907" s="218">
        <v>1369.7670430000001</v>
      </c>
      <c r="Y907" s="218">
        <v>539.91422590000002</v>
      </c>
      <c r="AA907" s="218">
        <v>55009.265299999999</v>
      </c>
      <c r="AC907" s="252">
        <v>27.56390987</v>
      </c>
      <c r="AG907" s="218">
        <v>5.010775862</v>
      </c>
      <c r="AM907" s="218">
        <v>92</v>
      </c>
      <c r="BS907" s="218">
        <v>49.694221499999998</v>
      </c>
      <c r="BU907" s="218">
        <v>19.587722800000002</v>
      </c>
    </row>
    <row r="908" spans="1:73">
      <c r="A908" s="154" t="s">
        <v>7800</v>
      </c>
      <c r="B908" t="s">
        <v>257</v>
      </c>
      <c r="C908" t="s">
        <v>7988</v>
      </c>
      <c r="E908" s="113">
        <v>9</v>
      </c>
      <c r="F908" s="113">
        <v>23</v>
      </c>
      <c r="I908" s="253">
        <v>32</v>
      </c>
      <c r="S908" s="218">
        <v>1507.2731490000001</v>
      </c>
      <c r="Y908" s="218">
        <v>585.38878550000004</v>
      </c>
      <c r="AA908" s="218">
        <v>61990.634310000001</v>
      </c>
      <c r="AC908" s="252">
        <v>30.342784160000001</v>
      </c>
      <c r="AG908" s="218">
        <v>4.8947368420000004</v>
      </c>
      <c r="AM908" s="218">
        <v>89</v>
      </c>
      <c r="BS908" s="218">
        <v>49.674846600000002</v>
      </c>
      <c r="BU908" s="218">
        <v>19.292520499999998</v>
      </c>
    </row>
    <row r="909" spans="1:73">
      <c r="A909" s="154" t="s">
        <v>7800</v>
      </c>
      <c r="B909" t="s">
        <v>257</v>
      </c>
      <c r="C909" t="s">
        <v>7989</v>
      </c>
      <c r="E909" s="113">
        <v>14</v>
      </c>
      <c r="F909" s="113">
        <v>40</v>
      </c>
      <c r="I909" s="253">
        <v>39</v>
      </c>
      <c r="S909" s="218">
        <v>1652.313977</v>
      </c>
      <c r="Y909" s="218">
        <v>608.582358</v>
      </c>
      <c r="AA909" s="218">
        <v>67003.801189999998</v>
      </c>
      <c r="AC909" s="252">
        <v>32.799554669999999</v>
      </c>
      <c r="AG909" s="218">
        <v>4.8951781969999999</v>
      </c>
      <c r="AM909" s="218">
        <v>92</v>
      </c>
      <c r="BS909" s="218">
        <v>50.376110099999998</v>
      </c>
      <c r="BU909" s="218">
        <v>18.554592100000001</v>
      </c>
    </row>
    <row r="910" spans="1:73">
      <c r="A910" s="154" t="s">
        <v>7800</v>
      </c>
      <c r="B910" t="s">
        <v>259</v>
      </c>
      <c r="C910" t="s">
        <v>405</v>
      </c>
      <c r="E910" s="113">
        <v>1</v>
      </c>
      <c r="F910" s="113">
        <v>41</v>
      </c>
      <c r="I910" s="253">
        <v>37</v>
      </c>
      <c r="S910" s="218">
        <v>1415.3657900000001</v>
      </c>
      <c r="Y910" s="218">
        <v>542.68396640000003</v>
      </c>
      <c r="AA910" s="218">
        <v>55761.884669999999</v>
      </c>
      <c r="AC910" s="252">
        <v>28.334045410000002</v>
      </c>
      <c r="AG910" s="218">
        <v>5.0812567709999996</v>
      </c>
      <c r="AM910" s="218">
        <v>89</v>
      </c>
      <c r="BS910" s="218">
        <v>49.9528313</v>
      </c>
      <c r="BU910" s="218">
        <v>19.153070400000001</v>
      </c>
    </row>
    <row r="911" spans="1:73">
      <c r="A911" s="154" t="s">
        <v>7800</v>
      </c>
      <c r="B911" t="s">
        <v>259</v>
      </c>
      <c r="C911" t="s">
        <v>7987</v>
      </c>
      <c r="E911" s="113">
        <v>7</v>
      </c>
      <c r="F911" s="113">
        <v>16</v>
      </c>
      <c r="I911" s="253">
        <v>32</v>
      </c>
      <c r="S911" s="218">
        <v>1320.867025</v>
      </c>
      <c r="Y911" s="218">
        <v>546.88925310000002</v>
      </c>
      <c r="AA911" s="218">
        <v>51565.951419999998</v>
      </c>
      <c r="AC911" s="252">
        <v>26.98286448</v>
      </c>
      <c r="AG911" s="218">
        <v>5.2326901250000004</v>
      </c>
      <c r="AM911" s="218">
        <v>89</v>
      </c>
      <c r="BS911" s="218">
        <v>48.952068300000001</v>
      </c>
      <c r="BU911" s="218">
        <v>20.2680206</v>
      </c>
    </row>
    <row r="912" spans="1:73">
      <c r="A912" s="154" t="s">
        <v>7800</v>
      </c>
      <c r="B912" t="s">
        <v>259</v>
      </c>
      <c r="C912" t="s">
        <v>7988</v>
      </c>
      <c r="E912" s="113">
        <v>12</v>
      </c>
      <c r="F912" s="113">
        <v>54</v>
      </c>
      <c r="I912" s="253">
        <v>40</v>
      </c>
      <c r="S912" s="218">
        <v>1788.938257</v>
      </c>
      <c r="Y912" s="218">
        <v>668.61924590000001</v>
      </c>
      <c r="AA912" s="218">
        <v>68935.206860000006</v>
      </c>
      <c r="AC912" s="252">
        <v>35.272742110000003</v>
      </c>
      <c r="AG912" s="218">
        <v>5.1167964399999999</v>
      </c>
      <c r="AM912" s="218">
        <v>92</v>
      </c>
      <c r="BS912" s="218">
        <v>50.717300399999999</v>
      </c>
      <c r="BU912" s="218">
        <v>18.955692299999999</v>
      </c>
    </row>
    <row r="913" spans="1:73">
      <c r="A913" s="154" t="s">
        <v>7800</v>
      </c>
      <c r="B913" t="s">
        <v>259</v>
      </c>
      <c r="C913" t="s">
        <v>7989</v>
      </c>
      <c r="E913" s="113">
        <v>13</v>
      </c>
      <c r="F913" s="113">
        <v>25</v>
      </c>
      <c r="I913" s="253">
        <v>32</v>
      </c>
      <c r="S913" s="218">
        <v>1671.4560180000001</v>
      </c>
      <c r="Y913" s="218">
        <v>710.87068220000003</v>
      </c>
      <c r="AA913" s="218">
        <v>73744.581690000006</v>
      </c>
      <c r="AC913" s="252">
        <v>34.602654370000003</v>
      </c>
      <c r="AG913" s="218">
        <v>4.692230071</v>
      </c>
      <c r="AM913" s="218">
        <v>92</v>
      </c>
      <c r="BS913" s="218">
        <v>48.304271700000001</v>
      </c>
      <c r="BU913" s="218">
        <v>20.5438194</v>
      </c>
    </row>
    <row r="914" spans="1:73">
      <c r="A914" s="154" t="s">
        <v>7855</v>
      </c>
      <c r="B914" t="s">
        <v>257</v>
      </c>
      <c r="C914" t="s">
        <v>405</v>
      </c>
      <c r="E914" s="113">
        <v>3</v>
      </c>
      <c r="F914" s="113">
        <v>21</v>
      </c>
      <c r="I914" s="253">
        <v>41</v>
      </c>
      <c r="S914" s="218">
        <v>1523.2653849999999</v>
      </c>
      <c r="Y914" s="218">
        <v>581.55021750000003</v>
      </c>
      <c r="AA914" s="218">
        <v>66241.613429999998</v>
      </c>
      <c r="AC914" s="252">
        <v>30.841237020000001</v>
      </c>
      <c r="AG914" s="218">
        <v>4.6558704449999997</v>
      </c>
      <c r="AM914" s="218">
        <v>94</v>
      </c>
      <c r="BS914" s="218">
        <v>49.3905411</v>
      </c>
      <c r="BU914" s="218">
        <v>18.8562546</v>
      </c>
    </row>
    <row r="915" spans="1:73">
      <c r="A915" s="154" t="s">
        <v>7855</v>
      </c>
      <c r="B915" t="s">
        <v>257</v>
      </c>
      <c r="C915" t="s">
        <v>7987</v>
      </c>
      <c r="E915" s="113">
        <v>5</v>
      </c>
      <c r="F915" s="113">
        <v>37</v>
      </c>
      <c r="I915" s="253">
        <v>38</v>
      </c>
      <c r="S915" s="218">
        <v>1422.954675</v>
      </c>
      <c r="Y915" s="218">
        <v>529.06034929999998</v>
      </c>
      <c r="AA915" s="218">
        <v>60675.831380000003</v>
      </c>
      <c r="AC915" s="252">
        <v>28.00422987</v>
      </c>
      <c r="AG915" s="218">
        <v>4.615384615</v>
      </c>
      <c r="AM915" s="218">
        <v>94</v>
      </c>
      <c r="BS915" s="218">
        <v>50.812133799999998</v>
      </c>
      <c r="BU915" s="218">
        <v>18.892158500000001</v>
      </c>
    </row>
    <row r="916" spans="1:73">
      <c r="A916" s="154" t="s">
        <v>7855</v>
      </c>
      <c r="B916" t="s">
        <v>257</v>
      </c>
      <c r="C916" t="s">
        <v>7988</v>
      </c>
      <c r="E916" s="113">
        <v>11</v>
      </c>
      <c r="F916" s="113">
        <v>30</v>
      </c>
      <c r="I916" s="253">
        <v>36</v>
      </c>
      <c r="S916" s="218">
        <v>1368.4949280000001</v>
      </c>
      <c r="Y916" s="218">
        <v>504.00546329999997</v>
      </c>
      <c r="AA916" s="218">
        <v>55744.571559999997</v>
      </c>
      <c r="AC916" s="252">
        <v>27.22682232</v>
      </c>
      <c r="AG916" s="218">
        <v>4.8842105260000004</v>
      </c>
      <c r="AM916" s="218">
        <v>92</v>
      </c>
      <c r="BS916" s="218">
        <v>50.262748700000003</v>
      </c>
      <c r="BU916" s="218">
        <v>18.511358300000001</v>
      </c>
    </row>
    <row r="917" spans="1:73">
      <c r="A917" s="154" t="s">
        <v>7855</v>
      </c>
      <c r="B917" t="s">
        <v>257</v>
      </c>
      <c r="C917" t="s">
        <v>7989</v>
      </c>
      <c r="E917" s="113">
        <v>15</v>
      </c>
      <c r="F917" s="113">
        <v>57</v>
      </c>
      <c r="I917" s="253">
        <v>43</v>
      </c>
      <c r="S917" s="218">
        <v>1470.970411</v>
      </c>
      <c r="Y917" s="218">
        <v>503.8080223</v>
      </c>
      <c r="AA917" s="218">
        <v>64881.156260000003</v>
      </c>
      <c r="AC917" s="252">
        <v>28.988129260000001</v>
      </c>
      <c r="AG917" s="218">
        <v>4.4678811119999997</v>
      </c>
      <c r="AM917" s="218">
        <v>94</v>
      </c>
      <c r="BS917" s="218">
        <v>50.743888900000002</v>
      </c>
      <c r="BU917" s="218">
        <v>17.3798046</v>
      </c>
    </row>
    <row r="918" spans="1:73">
      <c r="A918" s="154" t="s">
        <v>7855</v>
      </c>
      <c r="B918" t="s">
        <v>259</v>
      </c>
      <c r="C918" t="s">
        <v>405</v>
      </c>
      <c r="E918" s="113">
        <v>4</v>
      </c>
      <c r="F918" s="113">
        <v>60</v>
      </c>
      <c r="I918" s="253">
        <v>37</v>
      </c>
      <c r="S918" s="218">
        <v>1499.488419</v>
      </c>
      <c r="Y918" s="218">
        <v>603.45269940000003</v>
      </c>
      <c r="AA918" s="218">
        <v>68597.239440000005</v>
      </c>
      <c r="AC918" s="252">
        <v>30.86542455</v>
      </c>
      <c r="AG918" s="218">
        <v>4.499514091</v>
      </c>
      <c r="AM918" s="218">
        <v>101</v>
      </c>
      <c r="BS918" s="218">
        <v>48.581493399999999</v>
      </c>
      <c r="BU918" s="218">
        <v>19.551090200000001</v>
      </c>
    </row>
    <row r="919" spans="1:73">
      <c r="A919" s="154" t="s">
        <v>7855</v>
      </c>
      <c r="B919" t="s">
        <v>259</v>
      </c>
      <c r="C919" t="s">
        <v>7987</v>
      </c>
      <c r="E919" s="113">
        <v>6</v>
      </c>
      <c r="F919" s="113">
        <v>16</v>
      </c>
      <c r="I919" s="253">
        <v>34</v>
      </c>
      <c r="S919" s="218">
        <v>1615.066174</v>
      </c>
      <c r="Y919" s="218">
        <v>670.29194629999995</v>
      </c>
      <c r="AA919" s="218">
        <v>68845.162599999996</v>
      </c>
      <c r="AC919" s="252">
        <v>33.065674569999999</v>
      </c>
      <c r="AG919" s="218">
        <v>4.8029045640000003</v>
      </c>
      <c r="AM919" s="218">
        <v>92</v>
      </c>
      <c r="BS919" s="218">
        <v>48.844192499999998</v>
      </c>
      <c r="BU919" s="218">
        <v>20.271533999999999</v>
      </c>
    </row>
    <row r="920" spans="1:73">
      <c r="A920" s="154" t="s">
        <v>7855</v>
      </c>
      <c r="B920" t="s">
        <v>259</v>
      </c>
      <c r="C920" t="s">
        <v>7988</v>
      </c>
      <c r="E920" s="113">
        <v>10</v>
      </c>
      <c r="F920" s="113">
        <v>55</v>
      </c>
      <c r="I920" s="253">
        <v>38</v>
      </c>
      <c r="S920" s="218">
        <v>1711.2783589999999</v>
      </c>
      <c r="Y920" s="218">
        <v>688.09057919999998</v>
      </c>
      <c r="AA920" s="218">
        <v>75360.755470000004</v>
      </c>
      <c r="AC920" s="252">
        <v>34.890616299999998</v>
      </c>
      <c r="AG920" s="218">
        <v>4.6298124380000001</v>
      </c>
      <c r="AM920" s="218">
        <v>94</v>
      </c>
      <c r="BS920" s="218">
        <v>49.046951300000003</v>
      </c>
      <c r="BU920" s="218">
        <v>19.721364999999999</v>
      </c>
    </row>
    <row r="921" spans="1:73">
      <c r="A921" s="154" t="s">
        <v>7855</v>
      </c>
      <c r="B921" t="s">
        <v>259</v>
      </c>
      <c r="C921" t="s">
        <v>7989</v>
      </c>
      <c r="E921" s="113">
        <v>14</v>
      </c>
      <c r="F921" s="113">
        <v>27</v>
      </c>
      <c r="I921" s="253">
        <v>33</v>
      </c>
      <c r="S921" s="218">
        <v>1701.7441220000001</v>
      </c>
      <c r="Y921" s="218">
        <v>657.25837009999998</v>
      </c>
      <c r="AA921" s="218">
        <v>73348.456149999998</v>
      </c>
      <c r="AC921" s="252">
        <v>34.556263530000003</v>
      </c>
      <c r="AG921" s="218">
        <v>4.7112462009999998</v>
      </c>
      <c r="AM921" s="218">
        <v>92</v>
      </c>
      <c r="BS921" s="218">
        <v>49.245605500000003</v>
      </c>
      <c r="BU921" s="218">
        <v>19.019949</v>
      </c>
    </row>
    <row r="922" spans="1:73">
      <c r="A922" s="154" t="s">
        <v>7990</v>
      </c>
      <c r="B922" t="s">
        <v>257</v>
      </c>
      <c r="C922" t="s">
        <v>405</v>
      </c>
      <c r="E922" s="113">
        <v>2</v>
      </c>
      <c r="F922" s="113">
        <v>29</v>
      </c>
      <c r="I922" s="253">
        <v>40</v>
      </c>
      <c r="S922" s="218">
        <v>1574.624215</v>
      </c>
      <c r="Y922" s="218">
        <v>572.16063840000004</v>
      </c>
      <c r="AA922" s="218">
        <v>59676.119169999998</v>
      </c>
      <c r="AC922" s="252">
        <v>31.914954680000001</v>
      </c>
      <c r="AG922" s="218">
        <v>5.3480278419999996</v>
      </c>
      <c r="AM922" s="218">
        <v>101</v>
      </c>
      <c r="BS922" s="218">
        <v>49.338130999999997</v>
      </c>
      <c r="BU922" s="218">
        <v>17.927665699999999</v>
      </c>
    </row>
    <row r="923" spans="1:73">
      <c r="A923" s="154" t="s">
        <v>7990</v>
      </c>
      <c r="B923" t="s">
        <v>257</v>
      </c>
      <c r="C923" t="s">
        <v>7987</v>
      </c>
      <c r="E923" s="113">
        <v>7</v>
      </c>
      <c r="F923" s="113">
        <v>54</v>
      </c>
      <c r="I923" s="253">
        <v>38</v>
      </c>
      <c r="S923" s="218">
        <v>1873.802046</v>
      </c>
      <c r="Y923" s="218">
        <v>720.718389</v>
      </c>
      <c r="AA923" s="218">
        <v>75637.281170000002</v>
      </c>
      <c r="AC923" s="252">
        <v>38.997840959999998</v>
      </c>
      <c r="AG923" s="218">
        <v>5.1559020039999996</v>
      </c>
      <c r="AM923" s="218">
        <v>101</v>
      </c>
      <c r="BS923" s="218">
        <v>48.0488663</v>
      </c>
      <c r="BU923" s="218">
        <v>18.480981799999999</v>
      </c>
    </row>
    <row r="924" spans="1:73">
      <c r="A924" s="154" t="s">
        <v>7990</v>
      </c>
      <c r="B924" t="s">
        <v>257</v>
      </c>
      <c r="C924" t="s">
        <v>7988</v>
      </c>
      <c r="E924" s="113">
        <v>9</v>
      </c>
      <c r="F924" s="113">
        <v>26</v>
      </c>
      <c r="I924" s="253">
        <v>36</v>
      </c>
      <c r="S924" s="218">
        <v>1689.389404</v>
      </c>
      <c r="Y924" s="218">
        <v>624.11068669999997</v>
      </c>
      <c r="AA924" s="218">
        <v>63367.879699999998</v>
      </c>
      <c r="AC924" s="252">
        <v>34.224633140000002</v>
      </c>
      <c r="AG924" s="218">
        <v>5.4009433959999997</v>
      </c>
      <c r="AM924" s="218">
        <v>99</v>
      </c>
      <c r="BS924" s="218">
        <v>49.361797299999999</v>
      </c>
      <c r="BU924" s="218">
        <v>18.235715899999999</v>
      </c>
    </row>
    <row r="925" spans="1:73">
      <c r="A925" s="154" t="s">
        <v>7990</v>
      </c>
      <c r="B925" t="s">
        <v>257</v>
      </c>
      <c r="C925" t="s">
        <v>7989</v>
      </c>
      <c r="E925" s="113">
        <v>15</v>
      </c>
      <c r="F925" s="113">
        <v>64</v>
      </c>
      <c r="I925" s="253">
        <v>38</v>
      </c>
      <c r="S925" s="218">
        <v>2024.7345740000001</v>
      </c>
      <c r="Y925" s="218">
        <v>743.99444340000002</v>
      </c>
      <c r="AA925" s="218">
        <v>76799.528550000003</v>
      </c>
      <c r="AC925" s="252">
        <v>41.000896410000003</v>
      </c>
      <c r="AG925" s="218">
        <v>5.3386911599999998</v>
      </c>
      <c r="AM925" s="218">
        <v>99</v>
      </c>
      <c r="BS925" s="218">
        <v>49.382690400000001</v>
      </c>
      <c r="BU925" s="218">
        <v>18.145809199999999</v>
      </c>
    </row>
    <row r="926" spans="1:73">
      <c r="A926" s="154" t="s">
        <v>7990</v>
      </c>
      <c r="B926" t="s">
        <v>259</v>
      </c>
      <c r="C926" t="s">
        <v>405</v>
      </c>
      <c r="E926" s="113">
        <v>3</v>
      </c>
      <c r="F926" s="113">
        <v>49</v>
      </c>
      <c r="I926" s="253">
        <v>41</v>
      </c>
      <c r="S926" s="218">
        <v>1675.738601</v>
      </c>
      <c r="Y926" s="218">
        <v>739.35213290000002</v>
      </c>
      <c r="AA926" s="218">
        <v>68320.729460000002</v>
      </c>
      <c r="AC926" s="252">
        <v>36.251815630000003</v>
      </c>
      <c r="AG926" s="218">
        <v>5.3061224490000001</v>
      </c>
      <c r="AM926" s="218">
        <v>101</v>
      </c>
      <c r="BS926" s="218">
        <v>46.224956499999998</v>
      </c>
      <c r="BU926" s="218">
        <v>20.3948994</v>
      </c>
    </row>
    <row r="927" spans="1:73">
      <c r="A927" s="154" t="s">
        <v>7990</v>
      </c>
      <c r="B927" t="s">
        <v>259</v>
      </c>
      <c r="C927" t="s">
        <v>7987</v>
      </c>
      <c r="E927" s="113">
        <v>6</v>
      </c>
      <c r="F927" s="113">
        <v>32</v>
      </c>
      <c r="I927" s="253">
        <v>39</v>
      </c>
      <c r="S927" s="218">
        <v>1953.291291</v>
      </c>
      <c r="Y927" s="218">
        <v>746.1425223</v>
      </c>
      <c r="AA927" s="218">
        <v>77251.751279999997</v>
      </c>
      <c r="AC927" s="252">
        <v>40.14940206</v>
      </c>
      <c r="AG927" s="218">
        <v>5.1972157770000003</v>
      </c>
      <c r="AM927" s="218">
        <v>101</v>
      </c>
      <c r="BS927" s="218">
        <v>48.650569900000001</v>
      </c>
      <c r="BU927" s="218">
        <v>18.584150300000001</v>
      </c>
    </row>
    <row r="928" spans="1:73">
      <c r="A928" s="154" t="s">
        <v>7990</v>
      </c>
      <c r="B928" t="s">
        <v>259</v>
      </c>
      <c r="C928" t="s">
        <v>7988</v>
      </c>
      <c r="E928" s="113">
        <v>10</v>
      </c>
      <c r="F928" s="113">
        <v>43</v>
      </c>
      <c r="I928" s="253">
        <v>39</v>
      </c>
      <c r="S928" s="218">
        <v>1568.4289679999999</v>
      </c>
      <c r="Y928" s="218">
        <v>625.03232449999996</v>
      </c>
      <c r="AA928" s="218">
        <v>63510.830199999997</v>
      </c>
      <c r="AC928" s="252">
        <v>32.99724698</v>
      </c>
      <c r="AG928" s="218">
        <v>5.1955307260000003</v>
      </c>
      <c r="AM928" s="218">
        <v>101</v>
      </c>
      <c r="BS928" s="218">
        <v>47.532115900000001</v>
      </c>
      <c r="BU928" s="218">
        <v>18.941953699999999</v>
      </c>
    </row>
    <row r="929" spans="1:73">
      <c r="A929" s="154" t="s">
        <v>7990</v>
      </c>
      <c r="B929" t="s">
        <v>259</v>
      </c>
      <c r="C929" t="s">
        <v>7989</v>
      </c>
      <c r="E929" s="113">
        <v>14</v>
      </c>
      <c r="F929" s="113">
        <v>3</v>
      </c>
      <c r="I929" s="253">
        <v>37</v>
      </c>
      <c r="S929" s="218">
        <v>1787.964872</v>
      </c>
      <c r="Y929" s="218">
        <v>755.71532030000003</v>
      </c>
      <c r="AA929" s="218">
        <v>72984.127999999997</v>
      </c>
      <c r="AC929" s="252">
        <v>38.312529779999998</v>
      </c>
      <c r="AG929" s="218">
        <v>5.2494331069999998</v>
      </c>
      <c r="AM929" s="218">
        <v>101</v>
      </c>
      <c r="BS929" s="218">
        <v>46.667888599999998</v>
      </c>
      <c r="BU929" s="218">
        <v>19.7250175</v>
      </c>
    </row>
    <row r="930" spans="1:73">
      <c r="A930" s="154" t="s">
        <v>7440</v>
      </c>
      <c r="B930" t="s">
        <v>257</v>
      </c>
      <c r="C930" t="s">
        <v>405</v>
      </c>
      <c r="E930" s="113">
        <v>1</v>
      </c>
      <c r="F930" s="113">
        <v>21</v>
      </c>
      <c r="I930" s="253" t="s">
        <v>7956</v>
      </c>
      <c r="S930" s="218" t="s">
        <v>7956</v>
      </c>
      <c r="Y930" s="218" t="s">
        <v>7956</v>
      </c>
      <c r="AA930" s="218" t="s">
        <v>7956</v>
      </c>
      <c r="AC930" s="252" t="s">
        <v>7956</v>
      </c>
      <c r="AG930" s="218" t="s">
        <v>7956</v>
      </c>
      <c r="AM930" s="218" t="s">
        <v>7956</v>
      </c>
      <c r="BS930" s="218" t="s">
        <v>7956</v>
      </c>
      <c r="BU930" s="218" t="s">
        <v>7956</v>
      </c>
    </row>
    <row r="931" spans="1:73">
      <c r="A931" s="154" t="s">
        <v>7440</v>
      </c>
      <c r="B931" t="s">
        <v>257</v>
      </c>
      <c r="C931" t="s">
        <v>405</v>
      </c>
      <c r="E931" s="113">
        <v>2</v>
      </c>
      <c r="F931" s="113">
        <v>3</v>
      </c>
      <c r="I931" s="253">
        <v>34</v>
      </c>
      <c r="S931" s="218">
        <v>1414.4796670000001</v>
      </c>
      <c r="Y931" s="218">
        <v>538.30673720000004</v>
      </c>
      <c r="AA931" s="218">
        <v>57115.01225</v>
      </c>
      <c r="AC931" s="252">
        <v>28.745797369999998</v>
      </c>
      <c r="AG931" s="218">
        <v>5.0329670330000003</v>
      </c>
      <c r="AM931" s="218">
        <v>101</v>
      </c>
      <c r="BS931" s="218">
        <v>49.206485700000002</v>
      </c>
      <c r="BU931" s="218">
        <v>18.72645</v>
      </c>
    </row>
    <row r="932" spans="1:73">
      <c r="A932" s="154" t="s">
        <v>7440</v>
      </c>
      <c r="B932" t="s">
        <v>257</v>
      </c>
      <c r="C932" t="s">
        <v>405</v>
      </c>
      <c r="E932" s="113">
        <v>4</v>
      </c>
      <c r="F932" s="113">
        <v>31</v>
      </c>
      <c r="I932" s="253">
        <v>38</v>
      </c>
      <c r="S932" s="218">
        <v>1587.1432050000001</v>
      </c>
      <c r="Y932" s="218">
        <v>588.26744369999994</v>
      </c>
      <c r="AA932" s="218">
        <v>62868.985240000002</v>
      </c>
      <c r="AC932" s="252">
        <v>32.557153069999998</v>
      </c>
      <c r="AG932" s="218">
        <v>5.1785714289999998</v>
      </c>
      <c r="AM932" s="218">
        <v>101</v>
      </c>
      <c r="BS932" s="218">
        <v>48.749446900000002</v>
      </c>
      <c r="BU932" s="218">
        <v>18.068761800000001</v>
      </c>
    </row>
    <row r="933" spans="1:73">
      <c r="A933" s="154" t="s">
        <v>7440</v>
      </c>
      <c r="B933" t="s">
        <v>257</v>
      </c>
      <c r="C933" t="s">
        <v>405</v>
      </c>
      <c r="E933" s="113">
        <v>4</v>
      </c>
      <c r="F933" s="113">
        <v>14</v>
      </c>
      <c r="I933" s="253">
        <v>35</v>
      </c>
      <c r="S933" s="218">
        <v>1580.1437069999999</v>
      </c>
      <c r="Y933" s="218">
        <v>615.48145790000001</v>
      </c>
      <c r="AA933" s="218">
        <v>61245.843540000002</v>
      </c>
      <c r="AC933" s="252">
        <v>32.547791140000001</v>
      </c>
      <c r="AG933" s="218">
        <v>5.3142857140000004</v>
      </c>
      <c r="AM933" s="218">
        <v>101</v>
      </c>
      <c r="BS933" s="218">
        <v>48.548416099999997</v>
      </c>
      <c r="BU933" s="218">
        <v>18.910083799999999</v>
      </c>
    </row>
    <row r="934" spans="1:73">
      <c r="A934" s="154" t="s">
        <v>7440</v>
      </c>
      <c r="B934" t="s">
        <v>257</v>
      </c>
      <c r="C934" t="s">
        <v>7987</v>
      </c>
      <c r="E934" s="113">
        <v>5</v>
      </c>
      <c r="F934" s="113">
        <v>51</v>
      </c>
      <c r="I934" s="253">
        <v>28</v>
      </c>
      <c r="S934" s="218">
        <v>1538.8404330000001</v>
      </c>
      <c r="Y934" s="218">
        <v>589.47214789999998</v>
      </c>
      <c r="AA934" s="218">
        <v>59440.128819999998</v>
      </c>
      <c r="AC934" s="252">
        <v>31.496436079999999</v>
      </c>
      <c r="AG934" s="218">
        <v>5.2988505750000003</v>
      </c>
      <c r="AM934" s="218">
        <v>101</v>
      </c>
      <c r="BS934" s="218">
        <v>48.857605</v>
      </c>
      <c r="BU934" s="218">
        <v>18.715519</v>
      </c>
    </row>
    <row r="935" spans="1:73">
      <c r="A935" s="154" t="s">
        <v>7440</v>
      </c>
      <c r="B935" t="s">
        <v>257</v>
      </c>
      <c r="C935" t="s">
        <v>7987</v>
      </c>
      <c r="E935" s="113">
        <v>7</v>
      </c>
      <c r="F935" s="113">
        <v>47</v>
      </c>
      <c r="I935" s="253">
        <v>32</v>
      </c>
      <c r="S935" s="218">
        <v>1432.9439850000001</v>
      </c>
      <c r="Y935" s="218">
        <v>629.55182190000005</v>
      </c>
      <c r="AA935" s="218">
        <v>62936.200299999997</v>
      </c>
      <c r="AC935" s="252">
        <v>30.61405985</v>
      </c>
      <c r="AG935" s="218">
        <v>4.8643006260000003</v>
      </c>
      <c r="AM935" s="218">
        <v>101</v>
      </c>
      <c r="BS935" s="218">
        <v>46.806728399999997</v>
      </c>
      <c r="BU935" s="218">
        <v>20.564140299999998</v>
      </c>
    </row>
    <row r="936" spans="1:73">
      <c r="A936" s="154" t="s">
        <v>7440</v>
      </c>
      <c r="B936" t="s">
        <v>257</v>
      </c>
      <c r="C936" t="s">
        <v>7987</v>
      </c>
      <c r="E936" s="113">
        <v>8</v>
      </c>
      <c r="F936" s="113">
        <v>35</v>
      </c>
      <c r="I936" s="253">
        <v>35</v>
      </c>
      <c r="S936" s="218">
        <v>1297.554277</v>
      </c>
      <c r="Y936" s="218">
        <v>477.3072014</v>
      </c>
      <c r="AA936" s="218">
        <v>51048.268279999997</v>
      </c>
      <c r="AC936" s="252">
        <v>26.229220720000001</v>
      </c>
      <c r="AG936" s="218">
        <v>5.1381215469999999</v>
      </c>
      <c r="AM936" s="218">
        <v>101</v>
      </c>
      <c r="BS936" s="218" t="s">
        <v>7956</v>
      </c>
      <c r="BU936" s="218">
        <v>18.197536499999998</v>
      </c>
    </row>
    <row r="937" spans="1:73">
      <c r="A937" s="154" t="s">
        <v>7440</v>
      </c>
      <c r="B937" t="s">
        <v>257</v>
      </c>
      <c r="C937" t="s">
        <v>7987</v>
      </c>
      <c r="E937" s="113">
        <v>8</v>
      </c>
      <c r="F937" s="113">
        <v>60</v>
      </c>
      <c r="I937" s="253" t="s">
        <v>7956</v>
      </c>
      <c r="S937" s="218" t="s">
        <v>7956</v>
      </c>
      <c r="Y937" s="218" t="s">
        <v>7956</v>
      </c>
      <c r="AA937" s="218" t="s">
        <v>7956</v>
      </c>
      <c r="AC937" s="252" t="s">
        <v>7956</v>
      </c>
      <c r="AG937" s="218" t="s">
        <v>7956</v>
      </c>
      <c r="AM937" s="218" t="s">
        <v>7956</v>
      </c>
      <c r="BS937" s="218">
        <v>49.469799000000002</v>
      </c>
      <c r="BU937" s="218" t="s">
        <v>7956</v>
      </c>
    </row>
    <row r="938" spans="1:73">
      <c r="A938" s="154" t="s">
        <v>7440</v>
      </c>
      <c r="B938" t="s">
        <v>257</v>
      </c>
      <c r="C938" t="s">
        <v>7988</v>
      </c>
      <c r="E938" s="113">
        <v>10</v>
      </c>
      <c r="F938" s="113">
        <v>1</v>
      </c>
      <c r="I938" s="253" t="s">
        <v>7956</v>
      </c>
      <c r="S938" s="218" t="s">
        <v>7956</v>
      </c>
      <c r="Y938" s="218" t="s">
        <v>7956</v>
      </c>
      <c r="AA938" s="218" t="s">
        <v>7956</v>
      </c>
      <c r="AC938" s="252" t="s">
        <v>7956</v>
      </c>
      <c r="AG938" s="218" t="s">
        <v>7956</v>
      </c>
      <c r="AM938" s="218" t="s">
        <v>7956</v>
      </c>
      <c r="BS938" s="218" t="s">
        <v>7956</v>
      </c>
      <c r="BU938" s="218" t="s">
        <v>7956</v>
      </c>
    </row>
    <row r="939" spans="1:73">
      <c r="A939" s="154" t="s">
        <v>7440</v>
      </c>
      <c r="B939" t="s">
        <v>257</v>
      </c>
      <c r="C939" t="s">
        <v>7988</v>
      </c>
      <c r="E939" s="113">
        <v>11</v>
      </c>
      <c r="F939" s="113">
        <v>20</v>
      </c>
      <c r="I939" s="253">
        <v>31</v>
      </c>
      <c r="S939" s="218">
        <v>1480.861114</v>
      </c>
      <c r="Y939" s="218">
        <v>546.39925889999995</v>
      </c>
      <c r="AA939" s="218">
        <v>59413.717140000001</v>
      </c>
      <c r="AC939" s="252">
        <v>30.095183519999999</v>
      </c>
      <c r="AG939" s="218">
        <v>5.0653594770000003</v>
      </c>
      <c r="AM939" s="218">
        <v>101</v>
      </c>
      <c r="BS939" s="218">
        <v>49.205917399999997</v>
      </c>
      <c r="BU939" s="218">
        <v>18.155704499999999</v>
      </c>
    </row>
    <row r="940" spans="1:73">
      <c r="A940" s="154" t="s">
        <v>7440</v>
      </c>
      <c r="B940" t="s">
        <v>257</v>
      </c>
      <c r="C940" t="s">
        <v>7988</v>
      </c>
      <c r="E940" s="113">
        <v>12</v>
      </c>
      <c r="F940" s="113">
        <v>31</v>
      </c>
      <c r="I940" s="253">
        <v>41</v>
      </c>
      <c r="S940" s="218">
        <v>1560.5298419999999</v>
      </c>
      <c r="Y940" s="218">
        <v>596.6930936</v>
      </c>
      <c r="AA940" s="218">
        <v>62439.772940000003</v>
      </c>
      <c r="AC940" s="252">
        <v>32.059883419999998</v>
      </c>
      <c r="AG940" s="218">
        <v>5.1345291480000004</v>
      </c>
      <c r="AM940" s="218">
        <v>94</v>
      </c>
      <c r="BS940" s="218">
        <v>48.6754684</v>
      </c>
      <c r="BU940" s="218">
        <v>18.611829799999999</v>
      </c>
    </row>
    <row r="941" spans="1:73">
      <c r="A941" s="154" t="s">
        <v>7440</v>
      </c>
      <c r="B941" t="s">
        <v>257</v>
      </c>
      <c r="C941" t="s">
        <v>7988</v>
      </c>
      <c r="E941" s="113">
        <v>12</v>
      </c>
      <c r="F941" s="113">
        <v>7</v>
      </c>
      <c r="I941" s="253">
        <v>34</v>
      </c>
      <c r="S941" s="218">
        <v>1319.5641519999999</v>
      </c>
      <c r="Y941" s="218">
        <v>533.28711310000006</v>
      </c>
      <c r="AA941" s="218">
        <v>52888.428489999998</v>
      </c>
      <c r="AC941" s="252">
        <v>27.39288561</v>
      </c>
      <c r="AG941" s="218">
        <v>5.1793721970000002</v>
      </c>
      <c r="AM941" s="218">
        <v>101</v>
      </c>
      <c r="BS941" s="218">
        <v>48.171783400000002</v>
      </c>
      <c r="BU941" s="218">
        <v>19.4680882</v>
      </c>
    </row>
    <row r="942" spans="1:73">
      <c r="A942" s="154" t="s">
        <v>7440</v>
      </c>
      <c r="B942" t="s">
        <v>257</v>
      </c>
      <c r="C942" t="s">
        <v>7989</v>
      </c>
      <c r="E942" s="113">
        <v>13</v>
      </c>
      <c r="F942" s="113">
        <v>46</v>
      </c>
      <c r="I942" s="253">
        <v>35</v>
      </c>
      <c r="S942" s="218">
        <v>1575.905272</v>
      </c>
      <c r="Y942" s="218">
        <v>580.34635100000003</v>
      </c>
      <c r="AA942" s="218">
        <v>61934.391530000001</v>
      </c>
      <c r="AC942" s="252">
        <v>32.2058836</v>
      </c>
      <c r="AG942" s="218">
        <v>5.2</v>
      </c>
      <c r="AM942" s="218">
        <v>101</v>
      </c>
      <c r="BS942" s="218">
        <v>48.932216599999997</v>
      </c>
      <c r="BU942" s="218">
        <v>18.019886</v>
      </c>
    </row>
    <row r="943" spans="1:73">
      <c r="A943" s="154" t="s">
        <v>7440</v>
      </c>
      <c r="B943" t="s">
        <v>257</v>
      </c>
      <c r="C943" t="s">
        <v>7989</v>
      </c>
      <c r="E943" s="113">
        <v>13</v>
      </c>
      <c r="F943" s="113">
        <v>61</v>
      </c>
      <c r="I943" s="253">
        <v>37</v>
      </c>
      <c r="S943" s="218">
        <v>1450.4417350000001</v>
      </c>
      <c r="Y943" s="218">
        <v>558.52559489999999</v>
      </c>
      <c r="AA943" s="218">
        <v>62775.035389999997</v>
      </c>
      <c r="AC943" s="252">
        <v>29.877575700000001</v>
      </c>
      <c r="AG943" s="218">
        <v>4.7594677580000004</v>
      </c>
      <c r="AM943" s="218">
        <v>101</v>
      </c>
      <c r="BS943" s="218">
        <v>48.546165500000001</v>
      </c>
      <c r="BU943" s="218">
        <v>18.693805699999999</v>
      </c>
    </row>
    <row r="944" spans="1:73">
      <c r="A944" s="154" t="s">
        <v>7440</v>
      </c>
      <c r="B944" t="s">
        <v>257</v>
      </c>
      <c r="C944" t="s">
        <v>7989</v>
      </c>
      <c r="E944" s="113">
        <v>15</v>
      </c>
      <c r="F944" s="113">
        <v>34</v>
      </c>
      <c r="I944" s="253">
        <v>32</v>
      </c>
      <c r="S944" s="218">
        <v>1286.722665</v>
      </c>
      <c r="Y944" s="218">
        <v>487.06195939999998</v>
      </c>
      <c r="AA944" s="218">
        <v>49652.155250000003</v>
      </c>
      <c r="AC944" s="252">
        <v>26.227097799999999</v>
      </c>
      <c r="AG944" s="218">
        <v>5.2821670430000003</v>
      </c>
      <c r="AM944" s="218">
        <v>101</v>
      </c>
      <c r="BS944" s="218">
        <v>49.060810099999998</v>
      </c>
      <c r="BU944" s="218">
        <v>18.570943799999998</v>
      </c>
    </row>
    <row r="945" spans="1:73">
      <c r="A945" s="154" t="s">
        <v>7440</v>
      </c>
      <c r="B945" t="s">
        <v>257</v>
      </c>
      <c r="C945" t="s">
        <v>7989</v>
      </c>
      <c r="E945" s="113">
        <v>16</v>
      </c>
      <c r="F945" s="113">
        <v>55</v>
      </c>
      <c r="I945" s="253" t="s">
        <v>7956</v>
      </c>
      <c r="S945" s="218" t="s">
        <v>7956</v>
      </c>
      <c r="Y945" s="218" t="s">
        <v>7956</v>
      </c>
      <c r="AA945" s="218" t="s">
        <v>7956</v>
      </c>
      <c r="AC945" s="252" t="s">
        <v>7956</v>
      </c>
      <c r="AG945" s="218" t="s">
        <v>7956</v>
      </c>
      <c r="AM945" s="218" t="s">
        <v>7956</v>
      </c>
      <c r="BS945" s="218" t="s">
        <v>7956</v>
      </c>
      <c r="BU945" s="218" t="s">
        <v>7956</v>
      </c>
    </row>
    <row r="946" spans="1:73">
      <c r="A946" s="154" t="s">
        <v>7440</v>
      </c>
      <c r="B946" t="s">
        <v>259</v>
      </c>
      <c r="C946" t="s">
        <v>405</v>
      </c>
      <c r="E946" s="113">
        <v>1</v>
      </c>
      <c r="F946" s="113">
        <v>46</v>
      </c>
      <c r="I946" s="253">
        <v>35</v>
      </c>
      <c r="S946" s="218">
        <v>1435.9122319999999</v>
      </c>
      <c r="Y946" s="218">
        <v>539.68736490000003</v>
      </c>
      <c r="AA946" s="218">
        <v>55434.184260000002</v>
      </c>
      <c r="AC946" s="252">
        <v>29.169240469999998</v>
      </c>
      <c r="AG946" s="218">
        <v>5.2619589979999999</v>
      </c>
      <c r="AM946" s="218">
        <v>101</v>
      </c>
      <c r="BS946" s="218">
        <v>49.226932499999997</v>
      </c>
      <c r="BU946" s="218">
        <v>18.5019341</v>
      </c>
    </row>
    <row r="947" spans="1:73">
      <c r="A947" s="154" t="s">
        <v>7440</v>
      </c>
      <c r="B947" t="s">
        <v>259</v>
      </c>
      <c r="C947" t="s">
        <v>405</v>
      </c>
      <c r="E947" s="113">
        <v>2</v>
      </c>
      <c r="F947" s="113">
        <v>34</v>
      </c>
      <c r="I947" s="253" t="s">
        <v>7956</v>
      </c>
      <c r="S947" s="218" t="s">
        <v>7956</v>
      </c>
      <c r="Y947" s="218" t="s">
        <v>7956</v>
      </c>
      <c r="AA947" s="218" t="s">
        <v>7956</v>
      </c>
      <c r="AC947" s="252" t="s">
        <v>7956</v>
      </c>
      <c r="AG947" s="218" t="s">
        <v>7956</v>
      </c>
      <c r="AM947" s="218" t="s">
        <v>7956</v>
      </c>
      <c r="BS947" s="218" t="s">
        <v>7956</v>
      </c>
      <c r="BU947" s="218" t="s">
        <v>7956</v>
      </c>
    </row>
    <row r="948" spans="1:73">
      <c r="A948" s="154" t="s">
        <v>7440</v>
      </c>
      <c r="B948" t="s">
        <v>259</v>
      </c>
      <c r="C948" t="s">
        <v>405</v>
      </c>
      <c r="E948" s="113">
        <v>3</v>
      </c>
      <c r="F948" s="113">
        <v>60</v>
      </c>
      <c r="I948" s="253">
        <v>44</v>
      </c>
      <c r="S948" s="218">
        <v>1486.070841</v>
      </c>
      <c r="Y948" s="218">
        <v>629.65273960000002</v>
      </c>
      <c r="AA948" s="218">
        <v>58085.009599999998</v>
      </c>
      <c r="AC948" s="252">
        <v>31.462713529999998</v>
      </c>
      <c r="AG948" s="218">
        <v>5.4166666670000003</v>
      </c>
      <c r="AM948" s="218">
        <v>105</v>
      </c>
      <c r="BS948" s="218">
        <v>47.232761400000001</v>
      </c>
      <c r="BU948" s="218">
        <v>20.0126648</v>
      </c>
    </row>
    <row r="949" spans="1:73">
      <c r="A949" s="154" t="s">
        <v>7440</v>
      </c>
      <c r="B949" t="s">
        <v>259</v>
      </c>
      <c r="C949" t="s">
        <v>405</v>
      </c>
      <c r="E949" s="113">
        <v>4</v>
      </c>
      <c r="F949" s="113">
        <v>41</v>
      </c>
      <c r="I949" s="253">
        <v>34</v>
      </c>
      <c r="S949" s="218">
        <v>1621.81492</v>
      </c>
      <c r="Y949" s="218">
        <v>697.57469300000002</v>
      </c>
      <c r="AA949" s="218">
        <v>63651.758349999996</v>
      </c>
      <c r="AC949" s="252">
        <v>33.991654109999999</v>
      </c>
      <c r="AG949" s="218">
        <v>5.3402537490000004</v>
      </c>
      <c r="AM949" s="218">
        <v>101</v>
      </c>
      <c r="BS949" s="218">
        <v>47.712150600000001</v>
      </c>
      <c r="BU949" s="218">
        <v>20.5219402</v>
      </c>
    </row>
    <row r="950" spans="1:73">
      <c r="A950" s="154" t="s">
        <v>7440</v>
      </c>
      <c r="B950" t="s">
        <v>259</v>
      </c>
      <c r="C950" t="s">
        <v>7987</v>
      </c>
      <c r="E950" s="113">
        <v>5</v>
      </c>
      <c r="F950" s="113">
        <v>16</v>
      </c>
      <c r="I950" s="253">
        <v>25</v>
      </c>
      <c r="S950" s="218">
        <v>1544.319776</v>
      </c>
      <c r="Y950" s="218">
        <v>615.63042670000004</v>
      </c>
      <c r="AA950" s="218">
        <v>57438.907789999997</v>
      </c>
      <c r="AC950" s="252">
        <v>31.918066060000001</v>
      </c>
      <c r="AG950" s="218">
        <v>5.5568720379999998</v>
      </c>
      <c r="AM950" s="218">
        <v>99</v>
      </c>
      <c r="BS950" s="218">
        <v>48.383876800000003</v>
      </c>
      <c r="BU950" s="218">
        <v>19.2878361</v>
      </c>
    </row>
    <row r="951" spans="1:73">
      <c r="A951" s="154" t="s">
        <v>7440</v>
      </c>
      <c r="B951" t="s">
        <v>259</v>
      </c>
      <c r="C951" t="s">
        <v>7987</v>
      </c>
      <c r="E951" s="113">
        <v>7</v>
      </c>
      <c r="F951" s="113">
        <v>31</v>
      </c>
      <c r="I951" s="253">
        <v>37</v>
      </c>
      <c r="S951" s="218">
        <v>1655.855487</v>
      </c>
      <c r="Y951" s="218">
        <v>655.53669109999998</v>
      </c>
      <c r="AA951" s="218">
        <v>63201.479950000001</v>
      </c>
      <c r="AC951" s="252">
        <v>33.918372820000002</v>
      </c>
      <c r="AG951" s="218">
        <v>5.3667054710000004</v>
      </c>
      <c r="AM951" s="218">
        <v>101</v>
      </c>
      <c r="BS951" s="218">
        <v>48.8188362</v>
      </c>
      <c r="BU951" s="218">
        <v>19.326890899999999</v>
      </c>
    </row>
    <row r="952" spans="1:73">
      <c r="A952" s="154" t="s">
        <v>7440</v>
      </c>
      <c r="B952" t="s">
        <v>259</v>
      </c>
      <c r="C952" t="s">
        <v>7987</v>
      </c>
      <c r="E952" s="113">
        <v>7</v>
      </c>
      <c r="F952" s="113">
        <v>2</v>
      </c>
      <c r="I952" s="253">
        <v>34</v>
      </c>
      <c r="S952" s="218">
        <v>1539.2330939999999</v>
      </c>
      <c r="Y952" s="218">
        <v>647.26704629999995</v>
      </c>
      <c r="AA952" s="218">
        <v>60579.252489999999</v>
      </c>
      <c r="AC952" s="252">
        <v>32.646658709999997</v>
      </c>
      <c r="AG952" s="218">
        <v>5.3890824620000002</v>
      </c>
      <c r="AM952" s="218">
        <v>101</v>
      </c>
      <c r="BS952" s="218">
        <v>47.148258200000001</v>
      </c>
      <c r="BU952" s="218">
        <v>19.8264408</v>
      </c>
    </row>
    <row r="953" spans="1:73">
      <c r="A953" s="154" t="s">
        <v>7440</v>
      </c>
      <c r="B953" t="s">
        <v>259</v>
      </c>
      <c r="C953" t="s">
        <v>7987</v>
      </c>
      <c r="E953" s="113">
        <v>8</v>
      </c>
      <c r="F953" s="113">
        <v>13</v>
      </c>
      <c r="I953" s="253" t="s">
        <v>7956</v>
      </c>
      <c r="S953" s="218" t="s">
        <v>7956</v>
      </c>
      <c r="Y953" s="218" t="s">
        <v>7956</v>
      </c>
      <c r="AA953" s="218" t="s">
        <v>7956</v>
      </c>
      <c r="AC953" s="252" t="s">
        <v>7956</v>
      </c>
      <c r="AG953" s="218" t="s">
        <v>7956</v>
      </c>
      <c r="AM953" s="218" t="s">
        <v>7956</v>
      </c>
      <c r="BS953" s="218" t="s">
        <v>7956</v>
      </c>
      <c r="BU953" s="218" t="s">
        <v>7956</v>
      </c>
    </row>
    <row r="954" spans="1:73">
      <c r="A954" s="154" t="s">
        <v>7440</v>
      </c>
      <c r="B954" t="s">
        <v>259</v>
      </c>
      <c r="C954" t="s">
        <v>7988</v>
      </c>
      <c r="E954" s="113">
        <v>9</v>
      </c>
      <c r="F954" s="113">
        <v>57</v>
      </c>
      <c r="I954" s="253">
        <v>35</v>
      </c>
      <c r="S954" s="218" t="s">
        <v>7956</v>
      </c>
      <c r="Y954" s="218" t="s">
        <v>7956</v>
      </c>
      <c r="AA954" s="218" t="s">
        <v>7956</v>
      </c>
      <c r="AC954" s="252" t="s">
        <v>7956</v>
      </c>
      <c r="AG954" s="218" t="s">
        <v>7956</v>
      </c>
      <c r="AM954" s="218" t="s">
        <v>7956</v>
      </c>
      <c r="BS954" s="218" t="s">
        <v>7956</v>
      </c>
      <c r="BU954" s="218" t="s">
        <v>7956</v>
      </c>
    </row>
    <row r="955" spans="1:73">
      <c r="A955" s="154" t="s">
        <v>7440</v>
      </c>
      <c r="B955" t="s">
        <v>259</v>
      </c>
      <c r="C955" t="s">
        <v>7988</v>
      </c>
      <c r="E955" s="113">
        <v>10</v>
      </c>
      <c r="F955" s="113">
        <v>36</v>
      </c>
      <c r="I955" s="253">
        <v>39</v>
      </c>
      <c r="S955" s="218">
        <v>1482.4594279999999</v>
      </c>
      <c r="Y955" s="218">
        <v>581.91814079999995</v>
      </c>
      <c r="AA955" s="218">
        <v>62286.487679999998</v>
      </c>
      <c r="AC955" s="252">
        <v>30.83557184</v>
      </c>
      <c r="AG955" s="218">
        <v>4.9506037320000003</v>
      </c>
      <c r="AM955" s="218">
        <v>101</v>
      </c>
      <c r="BS955" s="218">
        <v>48.056877100000001</v>
      </c>
      <c r="BU955" s="218">
        <v>18.8716507</v>
      </c>
    </row>
    <row r="956" spans="1:73">
      <c r="A956" s="154" t="s">
        <v>7440</v>
      </c>
      <c r="B956" t="s">
        <v>259</v>
      </c>
      <c r="C956" t="s">
        <v>7988</v>
      </c>
      <c r="E956" s="113">
        <v>10</v>
      </c>
      <c r="F956" s="113">
        <v>63</v>
      </c>
      <c r="I956" s="253">
        <v>39</v>
      </c>
      <c r="S956" s="218">
        <v>1638.952501</v>
      </c>
      <c r="Y956" s="218">
        <v>669.21706270000004</v>
      </c>
      <c r="AA956" s="218">
        <v>64338.339740000003</v>
      </c>
      <c r="AC956" s="252">
        <v>34.104432070000001</v>
      </c>
      <c r="AG956" s="218">
        <v>5.3007945520000002</v>
      </c>
      <c r="AM956" s="218">
        <v>101</v>
      </c>
      <c r="BS956" s="218">
        <v>48.076274900000001</v>
      </c>
      <c r="BU956" s="218">
        <v>19.6225834</v>
      </c>
    </row>
    <row r="957" spans="1:73">
      <c r="A957" s="154" t="s">
        <v>7440</v>
      </c>
      <c r="B957" t="s">
        <v>259</v>
      </c>
      <c r="C957" t="s">
        <v>7988</v>
      </c>
      <c r="E957" s="113">
        <v>12</v>
      </c>
      <c r="F957" s="113">
        <v>38</v>
      </c>
      <c r="I957" s="253">
        <v>36</v>
      </c>
      <c r="S957" s="218">
        <v>1574.8303940000001</v>
      </c>
      <c r="Y957" s="218">
        <v>698.71644479999998</v>
      </c>
      <c r="AA957" s="218">
        <v>62343.641960000001</v>
      </c>
      <c r="AC957" s="252">
        <v>33.463331740000001</v>
      </c>
      <c r="AG957" s="218">
        <v>5.3675612599999996</v>
      </c>
      <c r="AM957" s="218">
        <v>101</v>
      </c>
      <c r="BS957" s="218">
        <v>47.061374700000002</v>
      </c>
      <c r="BU957" s="218">
        <v>20.8800621</v>
      </c>
    </row>
    <row r="958" spans="1:73">
      <c r="A958" s="154" t="s">
        <v>7440</v>
      </c>
      <c r="B958" t="s">
        <v>259</v>
      </c>
      <c r="C958" t="s">
        <v>7989</v>
      </c>
      <c r="E958" s="113">
        <v>13</v>
      </c>
      <c r="F958" s="113">
        <v>3</v>
      </c>
      <c r="I958" s="253">
        <v>29</v>
      </c>
      <c r="S958" s="218">
        <v>1392.1275929999999</v>
      </c>
      <c r="Y958" s="218">
        <v>617.25616809999997</v>
      </c>
      <c r="AA958" s="218">
        <v>55241.584540000003</v>
      </c>
      <c r="AC958" s="252">
        <v>29.83945894</v>
      </c>
      <c r="AG958" s="218">
        <v>5.4016298020000004</v>
      </c>
      <c r="AM958" s="218">
        <v>101</v>
      </c>
      <c r="BS958" s="218">
        <v>46.653915400000002</v>
      </c>
      <c r="BU958" s="218">
        <v>20.685903499999998</v>
      </c>
    </row>
    <row r="959" spans="1:73">
      <c r="A959" s="154" t="s">
        <v>7440</v>
      </c>
      <c r="B959" t="s">
        <v>259</v>
      </c>
      <c r="C959" t="s">
        <v>7989</v>
      </c>
      <c r="E959" s="113">
        <v>15</v>
      </c>
      <c r="F959" s="113">
        <v>12</v>
      </c>
      <c r="I959" s="253">
        <v>34</v>
      </c>
      <c r="S959" s="218">
        <v>1618.713583</v>
      </c>
      <c r="Y959" s="218">
        <v>646.26015319999999</v>
      </c>
      <c r="AA959" s="218">
        <v>62237.659789999998</v>
      </c>
      <c r="AC959" s="252">
        <v>33.341603460000002</v>
      </c>
      <c r="AG959" s="218">
        <v>5.3571428570000004</v>
      </c>
      <c r="AM959" s="218">
        <v>99</v>
      </c>
      <c r="BS959" s="218">
        <v>48.549362199999997</v>
      </c>
      <c r="BU959" s="218">
        <v>19.382995600000001</v>
      </c>
    </row>
    <row r="960" spans="1:73">
      <c r="A960" s="154" t="s">
        <v>7440</v>
      </c>
      <c r="B960" t="s">
        <v>259</v>
      </c>
      <c r="C960" t="s">
        <v>7989</v>
      </c>
      <c r="E960" s="113">
        <v>15</v>
      </c>
      <c r="F960" s="113">
        <v>28</v>
      </c>
      <c r="I960" s="253" t="s">
        <v>7956</v>
      </c>
      <c r="S960" s="218" t="s">
        <v>7956</v>
      </c>
      <c r="Y960" s="218" t="s">
        <v>7956</v>
      </c>
      <c r="AA960" s="218" t="s">
        <v>7956</v>
      </c>
      <c r="AC960" s="252" t="s">
        <v>7956</v>
      </c>
      <c r="AG960" s="218" t="s">
        <v>7956</v>
      </c>
      <c r="AM960" s="218" t="s">
        <v>7956</v>
      </c>
      <c r="BS960" s="218" t="s">
        <v>7956</v>
      </c>
      <c r="BU960" s="218" t="s">
        <v>7956</v>
      </c>
    </row>
    <row r="961" spans="1:73">
      <c r="A961" s="154" t="s">
        <v>7440</v>
      </c>
      <c r="B961" t="s">
        <v>259</v>
      </c>
      <c r="C961" t="s">
        <v>7989</v>
      </c>
      <c r="E961" s="113">
        <v>16</v>
      </c>
      <c r="F961" s="113">
        <v>22</v>
      </c>
      <c r="I961" s="253">
        <v>22</v>
      </c>
      <c r="S961" s="218">
        <v>1534.3001389999999</v>
      </c>
      <c r="Y961" s="218">
        <v>566.39125509999997</v>
      </c>
      <c r="AA961" s="218">
        <v>67559.33829</v>
      </c>
      <c r="AC961" s="252">
        <v>30.861266749999999</v>
      </c>
      <c r="AG961" s="218">
        <v>4.5680238329999998</v>
      </c>
      <c r="AM961" s="218">
        <v>101</v>
      </c>
      <c r="BS961" s="218">
        <v>49.716045399999999</v>
      </c>
      <c r="BU961" s="218">
        <v>18.352819400000001</v>
      </c>
    </row>
    <row r="962" spans="1:73">
      <c r="A962" s="154" t="s">
        <v>7991</v>
      </c>
      <c r="B962" t="s">
        <v>257</v>
      </c>
      <c r="C962" t="s">
        <v>7987</v>
      </c>
      <c r="E962" s="113">
        <v>5</v>
      </c>
      <c r="F962" s="113">
        <v>61</v>
      </c>
      <c r="I962" s="253">
        <v>36</v>
      </c>
      <c r="S962" s="218">
        <v>1809.5979110000001</v>
      </c>
      <c r="Y962" s="218">
        <v>694.16883419999999</v>
      </c>
      <c r="AA962" s="218">
        <v>84264.602780000001</v>
      </c>
      <c r="AC962" s="252">
        <v>36.158026960000001</v>
      </c>
      <c r="AG962" s="218">
        <v>4.2910101950000001</v>
      </c>
      <c r="AM962" s="218">
        <v>94</v>
      </c>
      <c r="BS962" s="218">
        <v>50.046920800000002</v>
      </c>
      <c r="BU962" s="218">
        <v>19.1981945</v>
      </c>
    </row>
    <row r="963" spans="1:73">
      <c r="A963" s="154" t="s">
        <v>7991</v>
      </c>
      <c r="B963" t="s">
        <v>257</v>
      </c>
      <c r="C963" t="s">
        <v>7989</v>
      </c>
      <c r="E963" s="113">
        <v>14</v>
      </c>
      <c r="F963" s="113">
        <v>42</v>
      </c>
      <c r="I963" s="253">
        <v>38</v>
      </c>
      <c r="S963" s="218">
        <v>1693.5083549999999</v>
      </c>
      <c r="Y963" s="218">
        <v>627.9494267</v>
      </c>
      <c r="AA963" s="218">
        <v>74933.803639999998</v>
      </c>
      <c r="AC963" s="252">
        <v>33.648159909999997</v>
      </c>
      <c r="AG963" s="218">
        <v>4.490384615</v>
      </c>
      <c r="AM963" s="218">
        <v>94</v>
      </c>
      <c r="BS963" s="218">
        <v>50.329895</v>
      </c>
      <c r="BU963" s="218">
        <v>18.662221899999999</v>
      </c>
    </row>
    <row r="964" spans="1:73">
      <c r="A964" s="154" t="s">
        <v>7991</v>
      </c>
      <c r="B964" t="s">
        <v>259</v>
      </c>
      <c r="C964" t="s">
        <v>7987</v>
      </c>
      <c r="E964" s="113">
        <v>7</v>
      </c>
      <c r="F964" s="113">
        <v>12</v>
      </c>
      <c r="I964" s="253">
        <v>38</v>
      </c>
      <c r="S964" s="218">
        <v>1610.605008</v>
      </c>
      <c r="Y964" s="218">
        <v>625.34091479999995</v>
      </c>
      <c r="AA964" s="218">
        <v>72328.685259999998</v>
      </c>
      <c r="AC964" s="252">
        <v>32.851040279999999</v>
      </c>
      <c r="AG964" s="218">
        <v>4.5419103310000004</v>
      </c>
      <c r="AM964" s="218">
        <v>94</v>
      </c>
      <c r="BS964" s="218">
        <v>49.0275192</v>
      </c>
      <c r="BU964" s="218">
        <v>19.0356503</v>
      </c>
    </row>
    <row r="965" spans="1:73">
      <c r="A965" s="154" t="s">
        <v>7991</v>
      </c>
      <c r="B965" t="s">
        <v>259</v>
      </c>
      <c r="C965" t="s">
        <v>7989</v>
      </c>
      <c r="E965" s="113">
        <v>14</v>
      </c>
      <c r="F965" s="113">
        <v>17</v>
      </c>
      <c r="I965" s="253">
        <v>32</v>
      </c>
      <c r="S965" s="218">
        <v>1640.746433</v>
      </c>
      <c r="Y965" s="218">
        <v>640.72396309999999</v>
      </c>
      <c r="AA965" s="218">
        <v>77165.897500000006</v>
      </c>
      <c r="AC965" s="252">
        <v>33.08124033</v>
      </c>
      <c r="AG965" s="218">
        <v>4.2870285189999997</v>
      </c>
      <c r="AM965" s="218">
        <v>92</v>
      </c>
      <c r="BS965" s="218">
        <v>49.597488400000003</v>
      </c>
      <c r="BU965" s="218">
        <v>19.3681965</v>
      </c>
    </row>
    <row r="966" spans="1:73">
      <c r="A966" s="154" t="s">
        <v>7992</v>
      </c>
      <c r="B966" t="s">
        <v>257</v>
      </c>
      <c r="C966" t="s">
        <v>405</v>
      </c>
      <c r="E966" s="113">
        <v>4</v>
      </c>
      <c r="F966" s="113">
        <v>8</v>
      </c>
      <c r="I966" s="253">
        <v>42</v>
      </c>
      <c r="S966" s="218">
        <v>1744.8206680000001</v>
      </c>
      <c r="Y966" s="218">
        <v>604.49710240000002</v>
      </c>
      <c r="AA966" s="218">
        <v>75498.712079999998</v>
      </c>
      <c r="AC966" s="252">
        <v>35.001895429999998</v>
      </c>
      <c r="AG966" s="218">
        <v>4.636091725</v>
      </c>
      <c r="AM966" s="218">
        <v>107</v>
      </c>
      <c r="BS966" s="218">
        <v>49.8493195</v>
      </c>
      <c r="BU966" s="218">
        <v>17.270410500000001</v>
      </c>
    </row>
    <row r="967" spans="1:73">
      <c r="A967" s="154" t="s">
        <v>7992</v>
      </c>
      <c r="B967" t="s">
        <v>257</v>
      </c>
      <c r="C967" t="s">
        <v>7987</v>
      </c>
      <c r="E967" s="113">
        <v>7</v>
      </c>
      <c r="F967" s="113">
        <v>37</v>
      </c>
      <c r="I967" s="253">
        <v>37</v>
      </c>
      <c r="S967" s="218">
        <v>1796.3976709999999</v>
      </c>
      <c r="Y967" s="218">
        <v>619.67213140000001</v>
      </c>
      <c r="AA967" s="218">
        <v>77982.411420000004</v>
      </c>
      <c r="AC967" s="252">
        <v>35.991882199999999</v>
      </c>
      <c r="AG967" s="218">
        <v>4.615384615</v>
      </c>
      <c r="AM967" s="218">
        <v>107</v>
      </c>
      <c r="BS967" s="218">
        <v>49.911189999999998</v>
      </c>
      <c r="BU967" s="218">
        <v>17.2169971</v>
      </c>
    </row>
    <row r="968" spans="1:73">
      <c r="A968" s="154" t="s">
        <v>7992</v>
      </c>
      <c r="B968" t="s">
        <v>257</v>
      </c>
      <c r="C968" t="s">
        <v>7988</v>
      </c>
      <c r="E968" s="113">
        <v>10</v>
      </c>
      <c r="F968" s="113">
        <v>20</v>
      </c>
      <c r="I968" s="253">
        <v>33</v>
      </c>
      <c r="S968" s="218">
        <v>1381.89742</v>
      </c>
      <c r="Y968" s="218">
        <v>459.38447079999997</v>
      </c>
      <c r="AA968" s="218">
        <v>57256.157500000001</v>
      </c>
      <c r="AC968" s="252">
        <v>27.375600299999999</v>
      </c>
      <c r="AG968" s="218">
        <v>4.78125</v>
      </c>
      <c r="AM968" s="218">
        <v>107</v>
      </c>
      <c r="BS968" s="218">
        <v>50.479164099999998</v>
      </c>
      <c r="BU968" s="218">
        <v>16.780799900000002</v>
      </c>
    </row>
    <row r="969" spans="1:73">
      <c r="A969" s="154" t="s">
        <v>7992</v>
      </c>
      <c r="B969" t="s">
        <v>257</v>
      </c>
      <c r="C969" t="s">
        <v>7989</v>
      </c>
      <c r="E969" s="113">
        <v>16</v>
      </c>
      <c r="F969" s="113">
        <v>34</v>
      </c>
      <c r="I969" s="253">
        <v>33</v>
      </c>
      <c r="S969" s="218">
        <v>1747.8522359999999</v>
      </c>
      <c r="Y969" s="218">
        <v>631.65374389999999</v>
      </c>
      <c r="AA969" s="218">
        <v>80413.314589999994</v>
      </c>
      <c r="AC969" s="252">
        <v>35.756449799999999</v>
      </c>
      <c r="AG969" s="218">
        <v>4.446583253</v>
      </c>
      <c r="AM969" s="218">
        <v>107</v>
      </c>
      <c r="BS969" s="218">
        <v>48.882152599999998</v>
      </c>
      <c r="BU969" s="218">
        <v>17.6654491</v>
      </c>
    </row>
    <row r="970" spans="1:73">
      <c r="A970" s="154" t="s">
        <v>7992</v>
      </c>
      <c r="B970" t="s">
        <v>259</v>
      </c>
      <c r="C970" t="s">
        <v>405</v>
      </c>
      <c r="E970" s="113">
        <v>1</v>
      </c>
      <c r="F970" s="113">
        <v>48</v>
      </c>
      <c r="I970" s="253">
        <v>37</v>
      </c>
      <c r="S970" s="218">
        <v>1701.442802</v>
      </c>
      <c r="Y970" s="218">
        <v>592.71798409999997</v>
      </c>
      <c r="AA970" s="218">
        <v>78043.385339999993</v>
      </c>
      <c r="AC970" s="218">
        <v>33.935135199999998</v>
      </c>
      <c r="AG970" s="218">
        <v>4.3482397720000003</v>
      </c>
      <c r="AM970" s="218">
        <v>107</v>
      </c>
      <c r="BS970" s="218">
        <v>50.138088199999999</v>
      </c>
      <c r="BU970" s="218">
        <v>17.466203700000001</v>
      </c>
    </row>
    <row r="971" spans="1:73">
      <c r="A971" s="154" t="s">
        <v>7992</v>
      </c>
      <c r="B971" t="s">
        <v>259</v>
      </c>
      <c r="C971" t="s">
        <v>7987</v>
      </c>
      <c r="E971" s="113">
        <v>6</v>
      </c>
      <c r="F971" s="113">
        <v>25</v>
      </c>
      <c r="I971" s="253">
        <v>36</v>
      </c>
      <c r="S971" s="218">
        <v>2086.9187729999999</v>
      </c>
      <c r="Y971" s="218">
        <v>746.20178180000005</v>
      </c>
      <c r="AA971" s="218">
        <v>89798.088180000006</v>
      </c>
      <c r="AC971" s="218">
        <v>42.198693830000003</v>
      </c>
      <c r="AG971" s="218">
        <v>4.699286442</v>
      </c>
      <c r="AM971" s="218">
        <v>107</v>
      </c>
      <c r="BS971" s="218">
        <v>49.454582199999997</v>
      </c>
      <c r="BU971" s="218">
        <v>17.683053999999998</v>
      </c>
    </row>
    <row r="972" spans="1:73">
      <c r="A972" s="154" t="s">
        <v>7992</v>
      </c>
      <c r="B972" t="s">
        <v>259</v>
      </c>
      <c r="C972" t="s">
        <v>7988</v>
      </c>
      <c r="E972" s="113">
        <v>9</v>
      </c>
      <c r="F972" s="113">
        <v>58</v>
      </c>
      <c r="I972" s="253">
        <v>30</v>
      </c>
      <c r="S972" s="218">
        <v>2216.7633879999998</v>
      </c>
      <c r="Y972" s="218">
        <v>826.35108430000002</v>
      </c>
      <c r="AA972" s="218">
        <v>82629.884430000006</v>
      </c>
      <c r="AC972" s="218">
        <v>43.649927409999997</v>
      </c>
      <c r="AG972" s="218">
        <v>5.2825836219999998</v>
      </c>
      <c r="AM972" s="218">
        <v>99</v>
      </c>
      <c r="BS972" s="218">
        <v>50.785041800000002</v>
      </c>
      <c r="BU972" s="218">
        <v>18.931327799999998</v>
      </c>
    </row>
    <row r="973" spans="1:73">
      <c r="A973" s="154" t="s">
        <v>7992</v>
      </c>
      <c r="B973" t="s">
        <v>259</v>
      </c>
      <c r="C973" t="s">
        <v>7989</v>
      </c>
      <c r="E973" s="113">
        <v>16</v>
      </c>
      <c r="F973" s="113">
        <v>32</v>
      </c>
      <c r="I973" s="253">
        <v>33</v>
      </c>
      <c r="S973" s="218">
        <v>1812.6573719999999</v>
      </c>
      <c r="Y973" s="218">
        <v>684.04675169999996</v>
      </c>
      <c r="AA973" s="218">
        <v>83691.194069999998</v>
      </c>
      <c r="AC973" s="218">
        <v>37.070180739999998</v>
      </c>
      <c r="AG973" s="218">
        <v>4.4294003870000003</v>
      </c>
      <c r="AM973" s="218">
        <v>107</v>
      </c>
      <c r="BS973" s="218">
        <v>48.8979912</v>
      </c>
      <c r="BU973" s="218">
        <v>18.452749300000001</v>
      </c>
    </row>
    <row r="974" spans="1:73">
      <c r="A974" s="154" t="s">
        <v>7993</v>
      </c>
      <c r="B974" t="s">
        <v>257</v>
      </c>
      <c r="C974" t="s">
        <v>405</v>
      </c>
      <c r="E974" s="113">
        <v>3</v>
      </c>
      <c r="F974" s="113">
        <v>22</v>
      </c>
      <c r="I974" s="253">
        <v>39</v>
      </c>
      <c r="S974" s="218">
        <v>1608.0502080000001</v>
      </c>
      <c r="Y974" s="218">
        <v>528.63256430000001</v>
      </c>
      <c r="AA974" s="218">
        <v>55959.837899999999</v>
      </c>
      <c r="AC974" s="218">
        <v>31.342889979999999</v>
      </c>
      <c r="AG974" s="218">
        <v>5.600961538</v>
      </c>
      <c r="AM974" s="218">
        <v>101</v>
      </c>
      <c r="BS974" s="218">
        <v>51.305103299999999</v>
      </c>
      <c r="BU974" s="218">
        <v>16.866107899999999</v>
      </c>
    </row>
    <row r="975" spans="1:73">
      <c r="A975" s="154" t="s">
        <v>7993</v>
      </c>
      <c r="B975" t="s">
        <v>257</v>
      </c>
      <c r="C975" t="s">
        <v>7987</v>
      </c>
      <c r="E975" s="113">
        <v>7</v>
      </c>
      <c r="F975" s="113">
        <v>46</v>
      </c>
      <c r="I975" s="253">
        <v>42</v>
      </c>
      <c r="S975" s="218">
        <v>1731.5201549999999</v>
      </c>
      <c r="Y975" s="218">
        <v>606.48185330000001</v>
      </c>
      <c r="AA975" s="218">
        <v>65888.037649999998</v>
      </c>
      <c r="AC975" s="218">
        <v>34.530772030000001</v>
      </c>
      <c r="AG975" s="218">
        <v>5.2408256880000001</v>
      </c>
      <c r="AM975" s="218">
        <v>101</v>
      </c>
      <c r="BS975" s="218">
        <v>50.144264200000002</v>
      </c>
      <c r="BU975" s="218">
        <v>17.563518500000001</v>
      </c>
    </row>
    <row r="976" spans="1:73">
      <c r="A976" s="154" t="s">
        <v>7993</v>
      </c>
      <c r="B976" t="s">
        <v>257</v>
      </c>
      <c r="C976" t="s">
        <v>7988</v>
      </c>
      <c r="E976" s="113">
        <v>11</v>
      </c>
      <c r="F976" s="113">
        <v>28</v>
      </c>
      <c r="I976" s="253">
        <v>40</v>
      </c>
      <c r="S976" s="218">
        <v>1589.4978430000001</v>
      </c>
      <c r="Y976" s="218">
        <v>528.17763479999996</v>
      </c>
      <c r="AA976" s="218">
        <v>57788.953809999999</v>
      </c>
      <c r="AC976" s="218">
        <v>31.30517944</v>
      </c>
      <c r="AG976" s="218">
        <v>5.4171562870000001</v>
      </c>
      <c r="AM976" s="218">
        <v>101</v>
      </c>
      <c r="BS976" s="218">
        <v>50.774276700000001</v>
      </c>
      <c r="BU976" s="218">
        <v>16.871892899999999</v>
      </c>
    </row>
    <row r="977" spans="1:73">
      <c r="A977" s="154" t="s">
        <v>7993</v>
      </c>
      <c r="B977" t="s">
        <v>257</v>
      </c>
      <c r="C977" t="s">
        <v>7989</v>
      </c>
      <c r="E977" s="113">
        <v>16</v>
      </c>
      <c r="F977" s="113">
        <v>44</v>
      </c>
      <c r="I977" s="253">
        <v>37</v>
      </c>
      <c r="S977" s="218">
        <v>1732.7690239999999</v>
      </c>
      <c r="Y977" s="218">
        <v>588.39056619999997</v>
      </c>
      <c r="AA977" s="218">
        <v>62268.284760000002</v>
      </c>
      <c r="AC977" s="218">
        <v>34.251223770000003</v>
      </c>
      <c r="AG977" s="218">
        <v>5.500588928</v>
      </c>
      <c r="AM977" s="218">
        <v>101</v>
      </c>
      <c r="BS977" s="218">
        <v>50.589988699999999</v>
      </c>
      <c r="BU977" s="218">
        <v>17.178672800000001</v>
      </c>
    </row>
    <row r="978" spans="1:73">
      <c r="A978" s="154" t="s">
        <v>7993</v>
      </c>
      <c r="B978" t="s">
        <v>259</v>
      </c>
      <c r="C978" t="s">
        <v>405</v>
      </c>
      <c r="E978" s="113">
        <v>3</v>
      </c>
      <c r="F978" s="113">
        <v>52</v>
      </c>
      <c r="I978" s="253">
        <v>40</v>
      </c>
      <c r="S978" s="218">
        <v>1750.7339460000001</v>
      </c>
      <c r="Y978" s="218">
        <v>655.68479479999996</v>
      </c>
      <c r="AA978" s="218">
        <v>67889.745649999997</v>
      </c>
      <c r="AC978" s="218">
        <v>35.387719769999997</v>
      </c>
      <c r="AG978" s="218">
        <v>5.2125279640000004</v>
      </c>
      <c r="AM978" s="218">
        <v>105</v>
      </c>
      <c r="BS978" s="218">
        <v>49.472923299999998</v>
      </c>
      <c r="BU978" s="218">
        <v>18.5285969</v>
      </c>
    </row>
    <row r="979" spans="1:73">
      <c r="A979" s="154" t="s">
        <v>7993</v>
      </c>
      <c r="B979" t="s">
        <v>259</v>
      </c>
      <c r="C979" t="s">
        <v>7987</v>
      </c>
      <c r="E979" s="113">
        <v>8</v>
      </c>
      <c r="F979" s="113">
        <v>17</v>
      </c>
      <c r="I979" s="253">
        <v>35</v>
      </c>
      <c r="S979" s="218">
        <v>1978.054969</v>
      </c>
      <c r="Y979" s="218">
        <v>686.47585839999999</v>
      </c>
      <c r="AA979" s="218">
        <v>74089.782930000001</v>
      </c>
      <c r="AC979" s="218">
        <v>39.264170679999999</v>
      </c>
      <c r="AG979" s="218">
        <v>5.2995391710000002</v>
      </c>
      <c r="AM979" s="218">
        <v>101</v>
      </c>
      <c r="BS979" s="218">
        <v>50.378116599999998</v>
      </c>
      <c r="BU979" s="218">
        <v>17.4835186</v>
      </c>
    </row>
    <row r="980" spans="1:73">
      <c r="A980" s="154" t="s">
        <v>7993</v>
      </c>
      <c r="B980" t="s">
        <v>259</v>
      </c>
      <c r="C980" t="s">
        <v>7988</v>
      </c>
      <c r="E980" s="113">
        <v>11</v>
      </c>
      <c r="F980" s="113">
        <v>38</v>
      </c>
      <c r="I980" s="253">
        <v>43</v>
      </c>
      <c r="S980" s="218">
        <v>1720.5324780000001</v>
      </c>
      <c r="Y980" s="218">
        <v>583.53627779999999</v>
      </c>
      <c r="AA980" s="218">
        <v>60537.49798</v>
      </c>
      <c r="AC980" s="218">
        <v>33.720767180000003</v>
      </c>
      <c r="AG980" s="218">
        <v>5.5702280909999997</v>
      </c>
      <c r="AM980" s="218">
        <v>101</v>
      </c>
      <c r="BS980" s="218">
        <v>51.022933999999999</v>
      </c>
      <c r="BU980" s="218">
        <v>17.3049526</v>
      </c>
    </row>
    <row r="981" spans="1:73">
      <c r="A981" s="154" t="s">
        <v>7993</v>
      </c>
      <c r="B981" t="s">
        <v>259</v>
      </c>
      <c r="C981" t="s">
        <v>7989</v>
      </c>
      <c r="E981" s="113">
        <v>15</v>
      </c>
      <c r="F981" s="113">
        <v>19</v>
      </c>
      <c r="I981" s="253">
        <v>40</v>
      </c>
      <c r="S981" s="218">
        <v>1506.2501</v>
      </c>
      <c r="Y981" s="218">
        <v>548.19323150000002</v>
      </c>
      <c r="AA981" s="218">
        <v>55834.059880000001</v>
      </c>
      <c r="AC981" s="218">
        <v>30.114203589999999</v>
      </c>
      <c r="AG981" s="218">
        <v>5.3935185189999997</v>
      </c>
      <c r="AM981" s="218">
        <v>105</v>
      </c>
      <c r="BS981" s="218">
        <v>50.017929100000003</v>
      </c>
      <c r="BU981" s="218">
        <v>18.203809700000001</v>
      </c>
    </row>
    <row r="982" spans="1:73">
      <c r="A982" s="154" t="s">
        <v>7439</v>
      </c>
      <c r="B982" t="s">
        <v>257</v>
      </c>
      <c r="C982" t="s">
        <v>405</v>
      </c>
      <c r="E982" s="113">
        <v>1</v>
      </c>
      <c r="F982" s="113">
        <v>6</v>
      </c>
      <c r="I982" s="253">
        <v>38</v>
      </c>
      <c r="S982" s="218">
        <v>962.08648410000001</v>
      </c>
      <c r="Y982" s="218">
        <v>330.36777810000001</v>
      </c>
      <c r="AA982" s="218">
        <v>43746.281320000002</v>
      </c>
      <c r="AC982" s="218">
        <v>18.85896485</v>
      </c>
      <c r="AG982" s="218">
        <v>4.3109869649999997</v>
      </c>
      <c r="AM982" s="218">
        <v>87</v>
      </c>
      <c r="BS982" s="218">
        <v>49.266967800000003</v>
      </c>
      <c r="BU982" s="218">
        <v>17.517810799999999</v>
      </c>
    </row>
    <row r="983" spans="1:73">
      <c r="A983" s="154" t="s">
        <v>7439</v>
      </c>
      <c r="B983" t="s">
        <v>257</v>
      </c>
      <c r="C983" t="s">
        <v>405</v>
      </c>
      <c r="E983" s="113">
        <v>2</v>
      </c>
      <c r="F983" s="113">
        <v>27</v>
      </c>
      <c r="I983" s="253">
        <v>40</v>
      </c>
      <c r="S983" s="218">
        <v>1410.368434</v>
      </c>
      <c r="Y983" s="218">
        <v>484.21846620000002</v>
      </c>
      <c r="AA983" s="218">
        <v>64785.046869999998</v>
      </c>
      <c r="AC983" s="218">
        <v>27.434181169999999</v>
      </c>
      <c r="AG983" s="218">
        <v>4.2346471130000003</v>
      </c>
      <c r="AM983" s="218">
        <v>89</v>
      </c>
      <c r="BS983" s="218">
        <v>51.409168200000003</v>
      </c>
      <c r="BU983" s="218">
        <v>17.650188400000001</v>
      </c>
    </row>
    <row r="984" spans="1:73">
      <c r="A984" s="154" t="s">
        <v>7439</v>
      </c>
      <c r="B984" t="s">
        <v>257</v>
      </c>
      <c r="C984" t="s">
        <v>405</v>
      </c>
      <c r="E984" s="113">
        <v>3</v>
      </c>
      <c r="F984" s="113">
        <v>11</v>
      </c>
      <c r="I984" s="253" t="s">
        <v>7956</v>
      </c>
      <c r="S984" s="218" t="s">
        <v>7956</v>
      </c>
      <c r="Y984" s="218" t="s">
        <v>7956</v>
      </c>
      <c r="AA984" s="218" t="s">
        <v>7956</v>
      </c>
      <c r="AC984" s="218" t="s">
        <v>7956</v>
      </c>
      <c r="AG984" s="218" t="s">
        <v>7956</v>
      </c>
      <c r="AM984" s="218" t="s">
        <v>7956</v>
      </c>
      <c r="BS984" s="218" t="s">
        <v>7956</v>
      </c>
      <c r="BU984" s="218" t="s">
        <v>7956</v>
      </c>
    </row>
    <row r="985" spans="1:73">
      <c r="A985" s="154" t="s">
        <v>7439</v>
      </c>
      <c r="B985" t="s">
        <v>257</v>
      </c>
      <c r="C985" t="s">
        <v>405</v>
      </c>
      <c r="E985" s="113">
        <v>4</v>
      </c>
      <c r="F985" s="113">
        <v>24</v>
      </c>
      <c r="I985" s="253">
        <v>34</v>
      </c>
      <c r="S985" s="218">
        <v>1792.5786800000001</v>
      </c>
      <c r="Y985" s="218">
        <v>643.60609380000005</v>
      </c>
      <c r="AA985" s="218">
        <v>81127.708989999999</v>
      </c>
      <c r="AC985" s="218">
        <v>35.157860839999998</v>
      </c>
      <c r="AG985" s="218">
        <v>4.3336439889999996</v>
      </c>
      <c r="AM985" s="218">
        <v>89</v>
      </c>
      <c r="BS985" s="218">
        <v>50.986568499999997</v>
      </c>
      <c r="BU985" s="218">
        <v>18.306179</v>
      </c>
    </row>
    <row r="986" spans="1:73">
      <c r="A986" s="154" t="s">
        <v>7439</v>
      </c>
      <c r="B986" t="s">
        <v>257</v>
      </c>
      <c r="C986" t="s">
        <v>7987</v>
      </c>
      <c r="E986" s="113">
        <v>5</v>
      </c>
      <c r="F986" s="113">
        <v>52</v>
      </c>
      <c r="I986" s="253">
        <v>39</v>
      </c>
      <c r="S986" s="218" t="s">
        <v>7956</v>
      </c>
      <c r="Y986" s="218" t="s">
        <v>7956</v>
      </c>
      <c r="AA986" s="218" t="s">
        <v>7956</v>
      </c>
      <c r="AC986" s="218" t="s">
        <v>7956</v>
      </c>
      <c r="AG986" s="218" t="s">
        <v>7956</v>
      </c>
      <c r="AM986" s="218">
        <v>89</v>
      </c>
      <c r="BS986" s="218" t="s">
        <v>7956</v>
      </c>
      <c r="BU986" s="218" t="s">
        <v>7956</v>
      </c>
    </row>
    <row r="987" spans="1:73">
      <c r="A987" s="154" t="s">
        <v>7439</v>
      </c>
      <c r="B987" t="s">
        <v>257</v>
      </c>
      <c r="C987" t="s">
        <v>7987</v>
      </c>
      <c r="E987" s="113">
        <v>6</v>
      </c>
      <c r="F987" s="113">
        <v>33</v>
      </c>
      <c r="I987" s="253" t="s">
        <v>7956</v>
      </c>
      <c r="S987" s="218" t="s">
        <v>7956</v>
      </c>
      <c r="Y987" s="218" t="s">
        <v>7956</v>
      </c>
      <c r="AA987" s="218" t="s">
        <v>7956</v>
      </c>
      <c r="AC987" s="218" t="s">
        <v>7956</v>
      </c>
      <c r="AG987" s="218" t="s">
        <v>7956</v>
      </c>
      <c r="AM987" s="218" t="s">
        <v>7956</v>
      </c>
      <c r="BS987" s="218" t="s">
        <v>7956</v>
      </c>
      <c r="BU987" s="218" t="s">
        <v>7956</v>
      </c>
    </row>
    <row r="988" spans="1:73">
      <c r="A988" s="154" t="s">
        <v>7439</v>
      </c>
      <c r="B988" t="s">
        <v>257</v>
      </c>
      <c r="C988" t="s">
        <v>7987</v>
      </c>
      <c r="E988" s="113">
        <v>7</v>
      </c>
      <c r="F988" s="113">
        <v>63</v>
      </c>
      <c r="I988" s="253">
        <v>40</v>
      </c>
      <c r="S988" s="218">
        <v>1561.3382280000001</v>
      </c>
      <c r="Y988" s="218">
        <v>576.53097830000002</v>
      </c>
      <c r="AA988" s="218">
        <v>70135.086569999999</v>
      </c>
      <c r="AC988" s="218">
        <v>30.721423919999999</v>
      </c>
      <c r="AG988" s="218">
        <v>4.3803216650000003</v>
      </c>
      <c r="AM988" s="218">
        <v>87</v>
      </c>
      <c r="BS988" s="218">
        <v>50.8224564</v>
      </c>
      <c r="BU988" s="218">
        <v>18.766414600000001</v>
      </c>
    </row>
    <row r="989" spans="1:73">
      <c r="A989" s="154" t="s">
        <v>7439</v>
      </c>
      <c r="B989" t="s">
        <v>257</v>
      </c>
      <c r="C989" t="s">
        <v>7987</v>
      </c>
      <c r="E989" s="113">
        <v>8</v>
      </c>
      <c r="F989" s="113">
        <v>38</v>
      </c>
      <c r="I989" s="253">
        <v>37</v>
      </c>
      <c r="S989" s="218">
        <v>1428.587704</v>
      </c>
      <c r="Y989" s="218">
        <v>536.39341079999997</v>
      </c>
      <c r="AA989" s="218">
        <v>64018.6826</v>
      </c>
      <c r="AC989" s="218">
        <v>28.21162284</v>
      </c>
      <c r="AG989" s="218">
        <v>4.4067796609999998</v>
      </c>
      <c r="AM989" s="218">
        <v>87</v>
      </c>
      <c r="BS989" s="218">
        <v>50.638267499999998</v>
      </c>
      <c r="BU989" s="218">
        <v>19.013206499999999</v>
      </c>
    </row>
    <row r="990" spans="1:73">
      <c r="A990" s="154" t="s">
        <v>7439</v>
      </c>
      <c r="B990" t="s">
        <v>257</v>
      </c>
      <c r="C990" t="s">
        <v>7988</v>
      </c>
      <c r="E990" s="113">
        <v>9</v>
      </c>
      <c r="F990" s="113">
        <v>17</v>
      </c>
      <c r="I990" s="253">
        <v>36</v>
      </c>
      <c r="S990" s="218">
        <v>1426.169425</v>
      </c>
      <c r="Y990" s="218">
        <v>488.11150350000003</v>
      </c>
      <c r="AA990" s="218">
        <v>67043.988270000002</v>
      </c>
      <c r="AC990" s="218">
        <v>27.99639071</v>
      </c>
      <c r="AG990" s="218">
        <v>4.1758241759999999</v>
      </c>
      <c r="AM990" s="218">
        <v>89</v>
      </c>
      <c r="BS990" s="218">
        <v>50.941188799999999</v>
      </c>
      <c r="BU990" s="218">
        <v>17.434801100000001</v>
      </c>
    </row>
    <row r="991" spans="1:73">
      <c r="A991" s="154" t="s">
        <v>7439</v>
      </c>
      <c r="B991" t="s">
        <v>257</v>
      </c>
      <c r="C991" t="s">
        <v>7988</v>
      </c>
      <c r="E991" s="113">
        <v>10</v>
      </c>
      <c r="F991" s="113">
        <v>12</v>
      </c>
      <c r="I991" s="253">
        <v>35</v>
      </c>
      <c r="S991" s="218">
        <v>1722.119299</v>
      </c>
      <c r="Y991" s="218">
        <v>620.43524860000002</v>
      </c>
      <c r="AA991" s="218">
        <v>73016.683340000003</v>
      </c>
      <c r="AC991" s="218">
        <v>33.861758809999998</v>
      </c>
      <c r="AG991" s="218">
        <v>4.6375372390000003</v>
      </c>
      <c r="AM991" s="218">
        <v>89</v>
      </c>
      <c r="BS991" s="218">
        <v>50.6561241</v>
      </c>
      <c r="BU991" s="218">
        <v>18.322593699999999</v>
      </c>
    </row>
    <row r="992" spans="1:73">
      <c r="A992" s="154" t="s">
        <v>7439</v>
      </c>
      <c r="B992" t="s">
        <v>257</v>
      </c>
      <c r="C992" t="s">
        <v>7988</v>
      </c>
      <c r="E992" s="113">
        <v>10</v>
      </c>
      <c r="F992" s="113">
        <v>27</v>
      </c>
      <c r="I992" s="253">
        <v>33</v>
      </c>
      <c r="S992" s="218">
        <v>1152.03413</v>
      </c>
      <c r="Y992" s="218">
        <v>435.06013619999999</v>
      </c>
      <c r="AA992" s="218">
        <v>48861.074000000001</v>
      </c>
      <c r="AC992" s="218">
        <v>22.742247859999999</v>
      </c>
      <c r="AG992" s="218">
        <v>4.6544715449999998</v>
      </c>
      <c r="AM992" s="218">
        <v>89</v>
      </c>
      <c r="BS992" s="218">
        <v>50.857349399999997</v>
      </c>
      <c r="BU992" s="218">
        <v>19.1300411</v>
      </c>
    </row>
    <row r="993" spans="1:73">
      <c r="A993" s="154" t="s">
        <v>7439</v>
      </c>
      <c r="B993" t="s">
        <v>257</v>
      </c>
      <c r="C993" t="s">
        <v>7988</v>
      </c>
      <c r="E993" s="113">
        <v>12</v>
      </c>
      <c r="F993" s="113">
        <v>21</v>
      </c>
      <c r="I993" s="253" t="s">
        <v>7956</v>
      </c>
      <c r="S993" s="218" t="s">
        <v>7956</v>
      </c>
      <c r="Y993" s="218" t="s">
        <v>7956</v>
      </c>
      <c r="AA993" s="218" t="s">
        <v>7956</v>
      </c>
      <c r="AC993" s="218" t="s">
        <v>7956</v>
      </c>
      <c r="AG993" s="218" t="s">
        <v>7956</v>
      </c>
      <c r="AM993" s="218" t="s">
        <v>7956</v>
      </c>
      <c r="BS993" s="218" t="s">
        <v>7956</v>
      </c>
      <c r="BU993" s="218" t="s">
        <v>7956</v>
      </c>
    </row>
    <row r="994" spans="1:73">
      <c r="A994" s="154" t="s">
        <v>7439</v>
      </c>
      <c r="B994" t="s">
        <v>257</v>
      </c>
      <c r="C994" t="s">
        <v>7989</v>
      </c>
      <c r="E994" s="113">
        <v>14</v>
      </c>
      <c r="F994" s="113">
        <v>38</v>
      </c>
      <c r="I994" s="253" t="s">
        <v>7956</v>
      </c>
      <c r="S994" s="218" t="s">
        <v>7956</v>
      </c>
      <c r="Y994" s="218" t="s">
        <v>7956</v>
      </c>
      <c r="AA994" s="218" t="s">
        <v>7956</v>
      </c>
      <c r="AC994" s="218" t="s">
        <v>7956</v>
      </c>
      <c r="AG994" s="218" t="s">
        <v>7956</v>
      </c>
      <c r="AM994" s="218" t="s">
        <v>7956</v>
      </c>
      <c r="BS994" s="218" t="s">
        <v>7956</v>
      </c>
      <c r="BU994" s="218" t="s">
        <v>7956</v>
      </c>
    </row>
    <row r="995" spans="1:73">
      <c r="A995" s="154" t="s">
        <v>7439</v>
      </c>
      <c r="B995" t="s">
        <v>257</v>
      </c>
      <c r="C995" t="s">
        <v>7989</v>
      </c>
      <c r="E995" s="113">
        <v>15</v>
      </c>
      <c r="F995" s="113">
        <v>62</v>
      </c>
      <c r="I995" s="253">
        <v>34</v>
      </c>
      <c r="S995" s="218">
        <v>1676.923767</v>
      </c>
      <c r="Y995" s="218">
        <v>582.95977289999996</v>
      </c>
      <c r="AA995" s="218">
        <v>73858.138999999996</v>
      </c>
      <c r="AC995" s="218">
        <v>32.802525750000001</v>
      </c>
      <c r="AG995" s="218">
        <v>4.4412878789999999</v>
      </c>
      <c r="AM995" s="218">
        <v>89</v>
      </c>
      <c r="BS995" s="218">
        <v>51.121788000000002</v>
      </c>
      <c r="BU995" s="218">
        <v>17.771795300000001</v>
      </c>
    </row>
    <row r="996" spans="1:73">
      <c r="A996" s="154" t="s">
        <v>7439</v>
      </c>
      <c r="B996" t="s">
        <v>257</v>
      </c>
      <c r="C996" t="s">
        <v>7989</v>
      </c>
      <c r="E996" s="113">
        <v>16</v>
      </c>
      <c r="F996" s="113">
        <v>43</v>
      </c>
      <c r="I996" s="253">
        <v>42</v>
      </c>
      <c r="S996" s="218">
        <v>1664.6956700000001</v>
      </c>
      <c r="Y996" s="218">
        <v>594.98013619999995</v>
      </c>
      <c r="AA996" s="218">
        <v>76012.533330000006</v>
      </c>
      <c r="AC996" s="218">
        <v>32.809130670000002</v>
      </c>
      <c r="AG996" s="218">
        <v>4.3162790700000002</v>
      </c>
      <c r="AM996" s="218">
        <v>92</v>
      </c>
      <c r="BS996" s="218">
        <v>50.738792400000001</v>
      </c>
      <c r="BU996" s="218">
        <v>18.1345901</v>
      </c>
    </row>
    <row r="997" spans="1:73">
      <c r="A997" s="154" t="s">
        <v>7439</v>
      </c>
      <c r="B997" t="s">
        <v>257</v>
      </c>
      <c r="C997" t="s">
        <v>7989</v>
      </c>
      <c r="E997" s="113">
        <v>16</v>
      </c>
      <c r="F997" s="113">
        <v>52</v>
      </c>
      <c r="I997" s="253">
        <v>38</v>
      </c>
      <c r="S997" s="218">
        <v>1549.529972</v>
      </c>
      <c r="Y997" s="218">
        <v>558.79216020000001</v>
      </c>
      <c r="AA997" s="218">
        <v>67748.615999999995</v>
      </c>
      <c r="AC997" s="218">
        <v>30.289895999999999</v>
      </c>
      <c r="AG997" s="218">
        <v>4.4709246900000004</v>
      </c>
      <c r="AM997" s="218">
        <v>89</v>
      </c>
      <c r="BS997" s="218">
        <v>51.156661999999997</v>
      </c>
      <c r="BU997" s="218">
        <v>18.448137299999999</v>
      </c>
    </row>
    <row r="998" spans="1:73">
      <c r="A998" s="154" t="s">
        <v>7439</v>
      </c>
      <c r="B998" t="s">
        <v>259</v>
      </c>
      <c r="C998" t="s">
        <v>405</v>
      </c>
      <c r="E998" s="113">
        <v>1</v>
      </c>
      <c r="F998" s="113">
        <v>55</v>
      </c>
      <c r="I998" s="253" t="s">
        <v>7956</v>
      </c>
      <c r="S998" s="218" t="s">
        <v>7956</v>
      </c>
      <c r="Y998" s="218" t="s">
        <v>7956</v>
      </c>
      <c r="AA998" s="218" t="s">
        <v>7956</v>
      </c>
      <c r="AC998" s="218" t="s">
        <v>7956</v>
      </c>
      <c r="AG998" s="218" t="s">
        <v>7956</v>
      </c>
      <c r="AM998" s="218" t="s">
        <v>7956</v>
      </c>
      <c r="BS998" s="218" t="s">
        <v>7956</v>
      </c>
      <c r="BU998" s="218" t="s">
        <v>7956</v>
      </c>
    </row>
    <row r="999" spans="1:73">
      <c r="A999" s="154" t="s">
        <v>7439</v>
      </c>
      <c r="B999" t="s">
        <v>259</v>
      </c>
      <c r="C999" t="s">
        <v>405</v>
      </c>
      <c r="E999" s="113">
        <v>2</v>
      </c>
      <c r="F999" s="113">
        <v>33</v>
      </c>
      <c r="I999" s="253">
        <v>38</v>
      </c>
      <c r="S999" s="218">
        <v>1886.4838159999999</v>
      </c>
      <c r="Y999" s="218">
        <v>675.23538359999998</v>
      </c>
      <c r="AA999" s="218">
        <v>86886.525080000007</v>
      </c>
      <c r="AC999" s="218">
        <v>36.710358380000002</v>
      </c>
      <c r="AG999" s="218">
        <v>4.2250922510000004</v>
      </c>
      <c r="AM999" s="218">
        <v>92</v>
      </c>
      <c r="BS999" s="218">
        <v>50.534858700000001</v>
      </c>
      <c r="BU999" s="218">
        <v>18.3935928</v>
      </c>
    </row>
    <row r="1000" spans="1:73">
      <c r="A1000" s="154" t="s">
        <v>7439</v>
      </c>
      <c r="B1000" t="s">
        <v>259</v>
      </c>
      <c r="C1000" t="s">
        <v>405</v>
      </c>
      <c r="E1000" s="113">
        <v>2</v>
      </c>
      <c r="F1000" s="113">
        <v>58</v>
      </c>
      <c r="I1000" s="253">
        <v>39</v>
      </c>
      <c r="S1000" s="218">
        <v>1711.9257769999999</v>
      </c>
      <c r="Y1000" s="218">
        <v>628.52468780000004</v>
      </c>
      <c r="AA1000" s="218">
        <v>79019.609670000005</v>
      </c>
      <c r="AC1000" s="218">
        <v>33.876136600000002</v>
      </c>
      <c r="AG1000" s="218">
        <v>4.2870544089999996</v>
      </c>
      <c r="AM1000" s="218">
        <v>89</v>
      </c>
      <c r="BS1000" s="218">
        <v>51.388324699999998</v>
      </c>
      <c r="BU1000" s="218">
        <v>18.553611799999999</v>
      </c>
    </row>
    <row r="1001" spans="1:73">
      <c r="A1001" s="154" t="s">
        <v>7439</v>
      </c>
      <c r="B1001" t="s">
        <v>259</v>
      </c>
      <c r="C1001" t="s">
        <v>405</v>
      </c>
      <c r="E1001" s="113">
        <v>3</v>
      </c>
      <c r="F1001" s="113">
        <v>43</v>
      </c>
      <c r="I1001" s="253">
        <v>41</v>
      </c>
      <c r="S1001" s="218">
        <v>1702.4468529999999</v>
      </c>
      <c r="Y1001" s="218">
        <v>619.99471159999996</v>
      </c>
      <c r="AA1001" s="218">
        <v>76857.784440000003</v>
      </c>
      <c r="AC1001" s="218">
        <v>33.513151569999998</v>
      </c>
      <c r="AG1001" s="218">
        <v>4.3604108310000003</v>
      </c>
      <c r="AM1001" s="218">
        <v>87</v>
      </c>
      <c r="BS1001" s="218">
        <v>50.799365999999999</v>
      </c>
      <c r="BU1001" s="218">
        <v>18.500042000000001</v>
      </c>
    </row>
    <row r="1002" spans="1:73">
      <c r="A1002" s="154" t="s">
        <v>7439</v>
      </c>
      <c r="B1002" t="s">
        <v>259</v>
      </c>
      <c r="C1002" t="s">
        <v>7987</v>
      </c>
      <c r="E1002" s="113">
        <v>5</v>
      </c>
      <c r="F1002" s="113">
        <v>20</v>
      </c>
      <c r="I1002" s="253">
        <v>33</v>
      </c>
      <c r="S1002" s="218">
        <v>1793.120913</v>
      </c>
      <c r="Y1002" s="218">
        <v>677.48704759999998</v>
      </c>
      <c r="AA1002" s="218">
        <v>80474.214170000007</v>
      </c>
      <c r="AC1002" s="218">
        <v>35.487684629999997</v>
      </c>
      <c r="AG1002" s="218">
        <v>4.4098205850000003</v>
      </c>
      <c r="AM1002" s="218">
        <v>89</v>
      </c>
      <c r="BS1002" s="218">
        <v>50.527977</v>
      </c>
      <c r="BU1002" s="218">
        <v>19.090765000000001</v>
      </c>
    </row>
    <row r="1003" spans="1:73">
      <c r="A1003" s="154" t="s">
        <v>7439</v>
      </c>
      <c r="B1003" t="s">
        <v>259</v>
      </c>
      <c r="C1003" t="s">
        <v>7987</v>
      </c>
      <c r="E1003" s="113">
        <v>7</v>
      </c>
      <c r="F1003" s="113">
        <v>10</v>
      </c>
      <c r="I1003" s="253">
        <v>40</v>
      </c>
      <c r="S1003" s="218">
        <v>1508.7598640000001</v>
      </c>
      <c r="Y1003" s="218">
        <v>646.06231509999998</v>
      </c>
      <c r="AA1003" s="218">
        <v>68382.612590000004</v>
      </c>
      <c r="AC1003" s="218">
        <v>31.004543770000002</v>
      </c>
      <c r="AG1003" s="218">
        <v>4.533980583</v>
      </c>
      <c r="AM1003" s="218">
        <v>89</v>
      </c>
      <c r="BS1003" s="218">
        <v>48.662540399999997</v>
      </c>
      <c r="BU1003" s="218">
        <v>20.837665600000001</v>
      </c>
    </row>
    <row r="1004" spans="1:73">
      <c r="A1004" s="154" t="s">
        <v>7439</v>
      </c>
      <c r="B1004" t="s">
        <v>259</v>
      </c>
      <c r="C1004" t="s">
        <v>7987</v>
      </c>
      <c r="E1004" s="113">
        <v>7</v>
      </c>
      <c r="F1004" s="113">
        <v>25</v>
      </c>
      <c r="I1004" s="253" t="s">
        <v>7956</v>
      </c>
      <c r="S1004" s="218" t="s">
        <v>7956</v>
      </c>
      <c r="Y1004" s="218" t="s">
        <v>7956</v>
      </c>
      <c r="AA1004" s="218" t="s">
        <v>7956</v>
      </c>
      <c r="AC1004" s="218" t="s">
        <v>7956</v>
      </c>
      <c r="AG1004" s="218" t="s">
        <v>7956</v>
      </c>
      <c r="AM1004" s="218" t="s">
        <v>7956</v>
      </c>
      <c r="BS1004" s="218" t="s">
        <v>7956</v>
      </c>
      <c r="BU1004" s="218" t="s">
        <v>7956</v>
      </c>
    </row>
    <row r="1005" spans="1:73">
      <c r="A1005" s="154" t="s">
        <v>7439</v>
      </c>
      <c r="B1005" t="s">
        <v>259</v>
      </c>
      <c r="C1005" t="s">
        <v>7987</v>
      </c>
      <c r="E1005" s="113">
        <v>8</v>
      </c>
      <c r="F1005" s="113">
        <v>2</v>
      </c>
      <c r="I1005" s="253">
        <v>29</v>
      </c>
      <c r="S1005" s="218">
        <v>1854.4334100000001</v>
      </c>
      <c r="Y1005" s="218">
        <v>683.32349020000004</v>
      </c>
      <c r="AA1005" s="218">
        <v>82853.565220000004</v>
      </c>
      <c r="AC1005" s="218">
        <v>36.665083459999998</v>
      </c>
      <c r="AG1005" s="218">
        <v>4.4252873560000001</v>
      </c>
      <c r="AM1005" s="218">
        <v>89</v>
      </c>
      <c r="BS1005" s="218">
        <v>50.577640500000001</v>
      </c>
      <c r="BU1005" s="218">
        <v>18.6368999</v>
      </c>
    </row>
    <row r="1006" spans="1:73">
      <c r="A1006" s="154" t="s">
        <v>7439</v>
      </c>
      <c r="B1006" t="s">
        <v>259</v>
      </c>
      <c r="C1006" t="s">
        <v>7988</v>
      </c>
      <c r="E1006" s="113">
        <v>9</v>
      </c>
      <c r="F1006" s="113">
        <v>46</v>
      </c>
      <c r="I1006" s="253">
        <v>44</v>
      </c>
      <c r="S1006" s="218">
        <v>1916.594914</v>
      </c>
      <c r="Y1006" s="218">
        <v>721.63394149999999</v>
      </c>
      <c r="AA1006" s="218">
        <v>87149.477029999995</v>
      </c>
      <c r="AC1006" s="218">
        <v>37.880312459999999</v>
      </c>
      <c r="AG1006" s="218">
        <v>4.3465909089999997</v>
      </c>
      <c r="AM1006" s="218">
        <v>92</v>
      </c>
      <c r="BS1006" s="218">
        <v>50.596069300000003</v>
      </c>
      <c r="BU1006" s="218">
        <v>19.0503693</v>
      </c>
    </row>
    <row r="1007" spans="1:73">
      <c r="A1007" s="154" t="s">
        <v>7439</v>
      </c>
      <c r="B1007" t="s">
        <v>259</v>
      </c>
      <c r="C1007" t="s">
        <v>7988</v>
      </c>
      <c r="E1007" s="113">
        <v>11</v>
      </c>
      <c r="F1007" s="113">
        <v>44</v>
      </c>
      <c r="I1007" s="253">
        <v>42</v>
      </c>
      <c r="S1007" s="218">
        <v>1767.916209</v>
      </c>
      <c r="Y1007" s="218">
        <v>652.80962650000004</v>
      </c>
      <c r="AA1007" s="218">
        <v>83195.948690000005</v>
      </c>
      <c r="AC1007" s="218">
        <v>35.221642510000002</v>
      </c>
      <c r="AG1007" s="218">
        <v>4.2335766420000001</v>
      </c>
      <c r="AM1007" s="218">
        <v>92</v>
      </c>
      <c r="BS1007" s="218">
        <v>50.1940308</v>
      </c>
      <c r="BU1007" s="218">
        <v>18.534332299999999</v>
      </c>
    </row>
    <row r="1008" spans="1:73">
      <c r="A1008" s="154" t="s">
        <v>7439</v>
      </c>
      <c r="B1008" t="s">
        <v>259</v>
      </c>
      <c r="C1008" t="s">
        <v>7988</v>
      </c>
      <c r="E1008" s="113">
        <v>11</v>
      </c>
      <c r="F1008" s="113">
        <v>52</v>
      </c>
      <c r="I1008" s="253">
        <v>37</v>
      </c>
      <c r="S1008" s="218">
        <v>1890.537176</v>
      </c>
      <c r="Y1008" s="218">
        <v>724.51154220000001</v>
      </c>
      <c r="AA1008" s="218">
        <v>86172.672850000003</v>
      </c>
      <c r="AC1008" s="218">
        <v>37.448871850000003</v>
      </c>
      <c r="AG1008" s="218">
        <v>4.3457943930000003</v>
      </c>
      <c r="AM1008" s="218">
        <v>89</v>
      </c>
      <c r="BS1008" s="218">
        <v>50.483154300000002</v>
      </c>
      <c r="BU1008" s="218">
        <v>19.346685399999998</v>
      </c>
    </row>
    <row r="1009" spans="1:73">
      <c r="A1009" s="154" t="s">
        <v>7439</v>
      </c>
      <c r="B1009" t="s">
        <v>259</v>
      </c>
      <c r="C1009" t="s">
        <v>7988</v>
      </c>
      <c r="E1009" s="113">
        <v>12</v>
      </c>
      <c r="F1009" s="113">
        <v>55</v>
      </c>
      <c r="I1009" s="253" t="s">
        <v>7956</v>
      </c>
      <c r="S1009" s="218" t="s">
        <v>7956</v>
      </c>
      <c r="Y1009" s="218" t="s">
        <v>7956</v>
      </c>
      <c r="AA1009" s="218" t="s">
        <v>7956</v>
      </c>
      <c r="AC1009" s="218" t="s">
        <v>7956</v>
      </c>
      <c r="AG1009" s="218" t="s">
        <v>7956</v>
      </c>
      <c r="AM1009" s="218" t="s">
        <v>7956</v>
      </c>
      <c r="BS1009" s="218" t="s">
        <v>7956</v>
      </c>
      <c r="BU1009" s="218" t="s">
        <v>7956</v>
      </c>
    </row>
    <row r="1010" spans="1:73">
      <c r="A1010" s="154" t="s">
        <v>7439</v>
      </c>
      <c r="B1010" t="s">
        <v>259</v>
      </c>
      <c r="C1010" t="s">
        <v>7989</v>
      </c>
      <c r="E1010" s="113">
        <v>13</v>
      </c>
      <c r="F1010" s="113">
        <v>14</v>
      </c>
      <c r="I1010" s="253">
        <v>36</v>
      </c>
      <c r="S1010" s="218">
        <v>1747.0190809999999</v>
      </c>
      <c r="Y1010" s="218">
        <v>679.07673750000004</v>
      </c>
      <c r="AA1010" s="218">
        <v>81681.594150000004</v>
      </c>
      <c r="AC1010" s="218">
        <v>34.99562298</v>
      </c>
      <c r="AG1010" s="218">
        <v>4.2843951990000004</v>
      </c>
      <c r="AM1010" s="218">
        <v>89</v>
      </c>
      <c r="BS1010" s="218">
        <v>49.921073900000003</v>
      </c>
      <c r="BU1010" s="218">
        <v>19.404619199999999</v>
      </c>
    </row>
    <row r="1011" spans="1:73">
      <c r="A1011" s="154" t="s">
        <v>7439</v>
      </c>
      <c r="B1011" t="s">
        <v>259</v>
      </c>
      <c r="C1011" t="s">
        <v>7989</v>
      </c>
      <c r="E1011" s="113">
        <v>14</v>
      </c>
      <c r="F1011" s="113">
        <v>23</v>
      </c>
      <c r="I1011" s="253">
        <v>34</v>
      </c>
      <c r="S1011" s="218">
        <v>2091.7699499999999</v>
      </c>
      <c r="Y1011" s="218">
        <v>816.15813130000004</v>
      </c>
      <c r="AA1011" s="218">
        <v>95678.693440000003</v>
      </c>
      <c r="AC1011" s="218">
        <v>41.56827131</v>
      </c>
      <c r="AG1011" s="218">
        <v>4.3445692879999998</v>
      </c>
      <c r="AM1011" s="218">
        <v>89</v>
      </c>
      <c r="BS1011" s="218">
        <v>50.321311999999999</v>
      </c>
      <c r="BU1011" s="218">
        <v>19.634160999999999</v>
      </c>
    </row>
    <row r="1012" spans="1:73">
      <c r="A1012" s="154" t="s">
        <v>7439</v>
      </c>
      <c r="B1012" t="s">
        <v>259</v>
      </c>
      <c r="C1012" t="s">
        <v>7989</v>
      </c>
      <c r="E1012" s="113">
        <v>15</v>
      </c>
      <c r="F1012" s="113">
        <v>2</v>
      </c>
      <c r="I1012" s="253">
        <v>34</v>
      </c>
      <c r="S1012" s="218">
        <v>1406.9578919999999</v>
      </c>
      <c r="Y1012" s="218">
        <v>522.38478720000001</v>
      </c>
      <c r="AA1012" s="218">
        <v>69542.152499999997</v>
      </c>
      <c r="AC1012" s="218">
        <v>27.477926230000001</v>
      </c>
      <c r="AG1012" s="218">
        <v>3.9512619670000002</v>
      </c>
      <c r="AM1012" s="218">
        <v>89</v>
      </c>
      <c r="BS1012" s="218">
        <v>51.203205099999998</v>
      </c>
      <c r="BU1012" s="218">
        <v>19.0110703</v>
      </c>
    </row>
    <row r="1013" spans="1:73">
      <c r="A1013" s="154" t="s">
        <v>7439</v>
      </c>
      <c r="B1013" t="s">
        <v>259</v>
      </c>
      <c r="C1013" t="s">
        <v>7989</v>
      </c>
      <c r="E1013" s="113">
        <v>16</v>
      </c>
      <c r="F1013" s="113">
        <v>31</v>
      </c>
      <c r="I1013" s="253" t="s">
        <v>7956</v>
      </c>
      <c r="S1013" s="218" t="s">
        <v>7956</v>
      </c>
      <c r="Y1013" s="218" t="s">
        <v>7956</v>
      </c>
      <c r="AA1013" s="218" t="s">
        <v>7956</v>
      </c>
      <c r="AC1013" s="218" t="s">
        <v>7956</v>
      </c>
      <c r="AG1013" s="218" t="s">
        <v>7956</v>
      </c>
      <c r="AM1013" s="218" t="s">
        <v>7956</v>
      </c>
      <c r="BS1013" s="218" t="s">
        <v>7956</v>
      </c>
      <c r="BU1013" s="218" t="s">
        <v>7956</v>
      </c>
    </row>
    <row r="1014" spans="1:73">
      <c r="A1014" s="154" t="s">
        <v>7994</v>
      </c>
      <c r="B1014" t="s">
        <v>257</v>
      </c>
      <c r="C1014" t="s">
        <v>405</v>
      </c>
      <c r="E1014" s="113">
        <v>1</v>
      </c>
      <c r="F1014" s="113">
        <v>14</v>
      </c>
      <c r="I1014" s="253">
        <v>39</v>
      </c>
      <c r="S1014" s="218">
        <v>1647.112284</v>
      </c>
      <c r="Y1014" s="218">
        <v>533.28140729999996</v>
      </c>
      <c r="AA1014" s="218">
        <v>64223.607329999999</v>
      </c>
      <c r="AC1014" s="218">
        <v>31.009109049999999</v>
      </c>
      <c r="AG1014" s="218">
        <v>4.8283038500000002</v>
      </c>
      <c r="AM1014" s="218">
        <v>99</v>
      </c>
      <c r="BS1014" s="218">
        <v>53.1170464</v>
      </c>
      <c r="BU1014" s="218">
        <v>17.197572699999998</v>
      </c>
    </row>
    <row r="1015" spans="1:73">
      <c r="A1015" s="154" t="s">
        <v>7994</v>
      </c>
      <c r="B1015" t="s">
        <v>257</v>
      </c>
      <c r="C1015" t="s">
        <v>7987</v>
      </c>
      <c r="E1015" s="113">
        <v>8</v>
      </c>
      <c r="F1015" s="113">
        <v>40</v>
      </c>
      <c r="I1015" s="253">
        <v>35</v>
      </c>
      <c r="S1015" s="218">
        <v>1660.113705</v>
      </c>
      <c r="Y1015" s="218">
        <v>508.94289029999999</v>
      </c>
      <c r="AA1015" s="218">
        <v>63429.959269999999</v>
      </c>
      <c r="AC1015" s="218">
        <v>30.681158010000001</v>
      </c>
      <c r="AG1015" s="218">
        <v>4.8370136700000002</v>
      </c>
      <c r="AM1015" s="218">
        <v>99</v>
      </c>
      <c r="BS1015" s="218">
        <v>54.108573900000003</v>
      </c>
      <c r="BU1015" s="218">
        <v>16.5881252</v>
      </c>
    </row>
    <row r="1016" spans="1:73">
      <c r="A1016" s="154" t="s">
        <v>7994</v>
      </c>
      <c r="B1016" t="s">
        <v>257</v>
      </c>
      <c r="C1016" t="s">
        <v>7988</v>
      </c>
      <c r="E1016" s="113">
        <v>9</v>
      </c>
      <c r="F1016" s="113">
        <v>12</v>
      </c>
      <c r="I1016" s="253">
        <v>41</v>
      </c>
      <c r="S1016" s="218">
        <v>1598.2740610000001</v>
      </c>
      <c r="Y1016" s="218">
        <v>542.28201220000005</v>
      </c>
      <c r="AA1016" s="218">
        <v>66037.234460000007</v>
      </c>
      <c r="AC1016" s="218">
        <v>30.391758459999998</v>
      </c>
      <c r="AG1016" s="218">
        <v>4.6022155089999996</v>
      </c>
      <c r="AM1016" s="218">
        <v>101</v>
      </c>
      <c r="BS1016" s="218">
        <v>52.589061700000002</v>
      </c>
      <c r="BU1016" s="218">
        <v>17.8430614</v>
      </c>
    </row>
    <row r="1017" spans="1:73">
      <c r="A1017" s="154" t="s">
        <v>7994</v>
      </c>
      <c r="B1017" t="s">
        <v>257</v>
      </c>
      <c r="C1017" t="s">
        <v>7989</v>
      </c>
      <c r="E1017" s="113">
        <v>13</v>
      </c>
      <c r="F1017" s="113">
        <v>38</v>
      </c>
      <c r="I1017" s="253">
        <v>40</v>
      </c>
      <c r="S1017" s="218">
        <v>1942.3814829999999</v>
      </c>
      <c r="Y1017" s="218">
        <v>563.77572959999998</v>
      </c>
      <c r="AA1017" s="218">
        <v>75737.869080000004</v>
      </c>
      <c r="AC1017" s="218">
        <v>35.445322730000001</v>
      </c>
      <c r="AG1017" s="218">
        <v>4.68</v>
      </c>
      <c r="AM1017" s="218">
        <v>101</v>
      </c>
      <c r="BS1017" s="218">
        <v>54.799373600000003</v>
      </c>
      <c r="BU1017" s="218">
        <v>15.905504199999999</v>
      </c>
    </row>
    <row r="1018" spans="1:73">
      <c r="A1018" s="154" t="s">
        <v>7994</v>
      </c>
      <c r="B1018" t="s">
        <v>259</v>
      </c>
      <c r="C1018" t="s">
        <v>405</v>
      </c>
      <c r="E1018" s="113">
        <v>3</v>
      </c>
      <c r="F1018" s="113">
        <v>48</v>
      </c>
      <c r="I1018" s="253">
        <v>37</v>
      </c>
      <c r="S1018" s="218">
        <v>1997.526746</v>
      </c>
      <c r="Y1018" s="218">
        <v>669.10454030000005</v>
      </c>
      <c r="AA1018" s="218">
        <v>82155.061730000001</v>
      </c>
      <c r="AC1018" s="218">
        <v>38.14637037</v>
      </c>
      <c r="AG1018" s="218">
        <v>4.6432160800000002</v>
      </c>
      <c r="AM1018" s="218">
        <v>101</v>
      </c>
      <c r="BS1018" s="218">
        <v>52.3647919</v>
      </c>
      <c r="BU1018" s="218">
        <v>17.540451000000001</v>
      </c>
    </row>
    <row r="1019" spans="1:73">
      <c r="A1019" s="154" t="s">
        <v>7994</v>
      </c>
      <c r="B1019" t="s">
        <v>259</v>
      </c>
      <c r="C1019" t="s">
        <v>7987</v>
      </c>
      <c r="E1019" s="113">
        <v>7</v>
      </c>
      <c r="F1019" s="113">
        <v>20</v>
      </c>
      <c r="I1019" s="253">
        <v>41</v>
      </c>
      <c r="S1019" s="218">
        <v>1772.078274</v>
      </c>
      <c r="Y1019" s="218">
        <v>602.43798200000003</v>
      </c>
      <c r="AA1019" s="218">
        <v>70142.187569999995</v>
      </c>
      <c r="AC1019" s="218">
        <v>33.527534899999999</v>
      </c>
      <c r="AG1019" s="218">
        <v>4.7799385880000003</v>
      </c>
      <c r="AM1019" s="218">
        <v>101</v>
      </c>
      <c r="BS1019" s="218">
        <v>52.854415899999999</v>
      </c>
      <c r="BU1019" s="218">
        <v>17.968454399999999</v>
      </c>
    </row>
    <row r="1020" spans="1:73">
      <c r="A1020" s="154" t="s">
        <v>7994</v>
      </c>
      <c r="B1020" t="s">
        <v>259</v>
      </c>
      <c r="C1020" t="s">
        <v>7988</v>
      </c>
      <c r="E1020" s="113">
        <v>11</v>
      </c>
      <c r="F1020" s="113">
        <v>35</v>
      </c>
      <c r="I1020" s="253">
        <v>43</v>
      </c>
      <c r="S1020" s="218">
        <v>1951.87841</v>
      </c>
      <c r="Y1020" s="218">
        <v>606.33536930000002</v>
      </c>
      <c r="AA1020" s="218">
        <v>75200.951690000002</v>
      </c>
      <c r="AC1020" s="218">
        <v>36.187514329999999</v>
      </c>
      <c r="AG1020" s="218">
        <v>4.8121085590000003</v>
      </c>
      <c r="AM1020" s="218">
        <v>101</v>
      </c>
      <c r="BS1020" s="218">
        <v>53.937896700000003</v>
      </c>
      <c r="BU1020" s="218">
        <v>16.7553749</v>
      </c>
    </row>
    <row r="1021" spans="1:73">
      <c r="A1021" s="154" t="s">
        <v>7994</v>
      </c>
      <c r="B1021" t="s">
        <v>259</v>
      </c>
      <c r="C1021" t="s">
        <v>7989</v>
      </c>
      <c r="E1021" s="113">
        <v>13</v>
      </c>
      <c r="F1021" s="113">
        <v>7</v>
      </c>
      <c r="I1021" s="253">
        <v>37</v>
      </c>
      <c r="S1021" s="218">
        <v>1714.1362819999999</v>
      </c>
      <c r="Y1021" s="218">
        <v>574.4874433</v>
      </c>
      <c r="AA1021" s="218">
        <v>67785.808739999993</v>
      </c>
      <c r="AC1021" s="218">
        <v>32.604068339999998</v>
      </c>
      <c r="AG1021" s="218">
        <v>4.8098663930000001</v>
      </c>
      <c r="AM1021" s="218">
        <v>101</v>
      </c>
      <c r="BS1021" s="218">
        <v>52.574306499999999</v>
      </c>
      <c r="BU1021" s="218">
        <v>17.620115299999998</v>
      </c>
    </row>
    <row r="1022" spans="1:73">
      <c r="A1022" s="154" t="s">
        <v>7995</v>
      </c>
      <c r="B1022" t="s">
        <v>257</v>
      </c>
      <c r="C1022" t="s">
        <v>405</v>
      </c>
      <c r="E1022" s="113">
        <v>4</v>
      </c>
      <c r="F1022" s="113">
        <v>4</v>
      </c>
      <c r="I1022" s="253">
        <v>40</v>
      </c>
      <c r="S1022" s="218">
        <v>1650.238006</v>
      </c>
      <c r="Y1022" s="218">
        <v>548.80957039999998</v>
      </c>
      <c r="AA1022" s="218">
        <v>59474.716679999998</v>
      </c>
      <c r="AC1022" s="218">
        <v>31.454918110000001</v>
      </c>
      <c r="AG1022" s="218">
        <v>5.288788222</v>
      </c>
      <c r="AM1022" s="218">
        <v>94</v>
      </c>
      <c r="BS1022" s="218">
        <v>52.463592499999997</v>
      </c>
      <c r="BU1022" s="218">
        <v>17.447496399999999</v>
      </c>
    </row>
    <row r="1023" spans="1:73">
      <c r="A1023" s="154" t="s">
        <v>7995</v>
      </c>
      <c r="B1023" t="s">
        <v>257</v>
      </c>
      <c r="C1023" t="s">
        <v>7988</v>
      </c>
      <c r="E1023" s="113">
        <v>9</v>
      </c>
      <c r="F1023" s="113">
        <v>25</v>
      </c>
      <c r="I1023" s="253">
        <v>39</v>
      </c>
      <c r="S1023" s="218">
        <v>1699.3847510000001</v>
      </c>
      <c r="Y1023" s="218">
        <v>572.92846789999999</v>
      </c>
      <c r="AA1023" s="218">
        <v>64786.969299999997</v>
      </c>
      <c r="AC1023" s="218">
        <v>32.535250449999999</v>
      </c>
      <c r="AG1023" s="218">
        <v>5.0218818379999997</v>
      </c>
      <c r="AM1023" s="218">
        <v>99</v>
      </c>
      <c r="BS1023" s="218">
        <v>52.232109100000002</v>
      </c>
      <c r="BU1023" s="218">
        <v>17.609468499999998</v>
      </c>
    </row>
    <row r="1024" spans="1:73">
      <c r="A1024" s="154" t="s">
        <v>7995</v>
      </c>
      <c r="B1024" t="s">
        <v>259</v>
      </c>
      <c r="C1024" t="s">
        <v>405</v>
      </c>
      <c r="E1024" s="113">
        <v>1</v>
      </c>
      <c r="F1024" s="113">
        <v>36</v>
      </c>
      <c r="I1024" s="253">
        <v>35</v>
      </c>
      <c r="S1024" s="218">
        <v>1704.524195</v>
      </c>
      <c r="Y1024" s="218">
        <v>599.54870010000002</v>
      </c>
      <c r="AA1024" s="218">
        <v>65246.549330000002</v>
      </c>
      <c r="AC1024" s="218">
        <v>32.800767999999998</v>
      </c>
      <c r="AG1024" s="218">
        <v>5.027203482</v>
      </c>
      <c r="AM1024" s="218">
        <v>99</v>
      </c>
      <c r="BS1024" s="218">
        <v>51.965984300000002</v>
      </c>
      <c r="BU1024" s="218">
        <v>18.278495800000002</v>
      </c>
    </row>
    <row r="1025" spans="1:73">
      <c r="A1025" s="154" t="s">
        <v>7995</v>
      </c>
      <c r="B1025" t="s">
        <v>259</v>
      </c>
      <c r="C1025" t="s">
        <v>7988</v>
      </c>
      <c r="E1025" s="113">
        <v>12</v>
      </c>
      <c r="F1025" s="113">
        <v>52</v>
      </c>
      <c r="I1025" s="253">
        <v>33</v>
      </c>
      <c r="S1025" s="218">
        <v>1939.692634</v>
      </c>
      <c r="Y1025" s="218">
        <v>704.1731029</v>
      </c>
      <c r="AA1025" s="218">
        <v>71435.882280000005</v>
      </c>
      <c r="AC1025" s="218">
        <v>37.843036040000001</v>
      </c>
      <c r="AG1025" s="218">
        <v>5.2974828379999996</v>
      </c>
      <c r="AM1025" s="218">
        <v>101</v>
      </c>
      <c r="BS1025" s="218">
        <v>51.256263699999998</v>
      </c>
      <c r="BU1025" s="218">
        <v>18.607732800000001</v>
      </c>
    </row>
  </sheetData>
  <sheetProtection selectLockedCells="1" selectUnlockedCells="1"/>
  <autoFilter ref="A1:CM1">
    <sortState ref="A2:CM881">
      <sortCondition ref="A1:A881"/>
    </sortState>
  </autoFilter>
  <sortState ref="D699:I703">
    <sortCondition ref="D699:D703"/>
    <sortCondition ref="F699:F703"/>
    <sortCondition ref="E699:E703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 enableFormatConditionsCalculation="0">
    <tabColor indexed="9"/>
  </sheetPr>
  <dimension ref="A1:F6"/>
  <sheetViews>
    <sheetView zoomScale="95" zoomScaleNormal="95" workbookViewId="0">
      <selection activeCell="G36" sqref="G36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7701</v>
      </c>
      <c r="B2" s="142" t="s">
        <v>7707</v>
      </c>
      <c r="C2" s="141" t="s">
        <v>7706</v>
      </c>
    </row>
    <row r="3" spans="1:6">
      <c r="A3" s="141" t="s">
        <v>7702</v>
      </c>
      <c r="B3" s="142" t="s">
        <v>7707</v>
      </c>
      <c r="C3" s="141" t="s">
        <v>7706</v>
      </c>
    </row>
    <row r="4" spans="1:6">
      <c r="A4" s="141" t="s">
        <v>7703</v>
      </c>
      <c r="B4" s="142" t="s">
        <v>7707</v>
      </c>
      <c r="C4" s="141" t="s">
        <v>7706</v>
      </c>
    </row>
    <row r="5" spans="1:6">
      <c r="A5" s="141" t="s">
        <v>7704</v>
      </c>
      <c r="B5" s="142" t="s">
        <v>7707</v>
      </c>
      <c r="C5" s="141" t="s">
        <v>7706</v>
      </c>
    </row>
    <row r="6" spans="1:6">
      <c r="A6" s="141" t="s">
        <v>7705</v>
      </c>
      <c r="B6" s="142" t="s">
        <v>7707</v>
      </c>
      <c r="C6" s="141" t="s">
        <v>7706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276</v>
      </c>
      <c r="C1" s="151" t="s">
        <v>149</v>
      </c>
      <c r="D1" s="151" t="s">
        <v>26</v>
      </c>
      <c r="E1" s="151" t="s">
        <v>65</v>
      </c>
    </row>
    <row r="2" spans="1:5">
      <c r="A2" s="151" t="s">
        <v>277</v>
      </c>
      <c r="B2" s="151" t="s">
        <v>278</v>
      </c>
      <c r="C2" s="151" t="s">
        <v>279</v>
      </c>
      <c r="D2" s="151" t="s">
        <v>280</v>
      </c>
      <c r="E2" s="151" t="s">
        <v>281</v>
      </c>
    </row>
    <row r="3" spans="1:5">
      <c r="A3" s="151" t="s">
        <v>282</v>
      </c>
      <c r="B3" s="151" t="s">
        <v>283</v>
      </c>
      <c r="C3" s="151" t="s">
        <v>284</v>
      </c>
      <c r="D3" s="151" t="s">
        <v>285</v>
      </c>
      <c r="E3" s="151" t="s">
        <v>286</v>
      </c>
    </row>
    <row r="4" spans="1:5">
      <c r="A4" s="151" t="s">
        <v>287</v>
      </c>
      <c r="B4" s="151" t="s">
        <v>288</v>
      </c>
      <c r="C4" s="151" t="s">
        <v>289</v>
      </c>
      <c r="D4" s="151" t="s">
        <v>290</v>
      </c>
      <c r="E4" s="151" t="s">
        <v>291</v>
      </c>
    </row>
    <row r="5" spans="1:5">
      <c r="A5" s="151" t="s">
        <v>292</v>
      </c>
      <c r="B5" s="151" t="s">
        <v>293</v>
      </c>
      <c r="C5" s="151" t="s">
        <v>294</v>
      </c>
      <c r="D5" s="151" t="s">
        <v>295</v>
      </c>
      <c r="E5" s="151" t="s">
        <v>296</v>
      </c>
    </row>
    <row r="6" spans="1:5">
      <c r="A6" s="151" t="s">
        <v>297</v>
      </c>
      <c r="B6" s="151" t="s">
        <v>298</v>
      </c>
      <c r="C6" s="151" t="s">
        <v>299</v>
      </c>
      <c r="D6" s="151" t="s">
        <v>300</v>
      </c>
      <c r="E6" s="151" t="s">
        <v>90</v>
      </c>
    </row>
    <row r="7" spans="1:5">
      <c r="A7" s="151" t="s">
        <v>301</v>
      </c>
      <c r="B7" s="151" t="s">
        <v>302</v>
      </c>
      <c r="C7" s="151" t="s">
        <v>303</v>
      </c>
      <c r="D7" s="151" t="s">
        <v>304</v>
      </c>
      <c r="E7" s="151" t="s">
        <v>305</v>
      </c>
    </row>
    <row r="8" spans="1:5">
      <c r="A8" s="151" t="s">
        <v>306</v>
      </c>
      <c r="B8" s="151" t="s">
        <v>307</v>
      </c>
      <c r="C8" s="151" t="s">
        <v>308</v>
      </c>
      <c r="D8" s="151" t="s">
        <v>309</v>
      </c>
      <c r="E8" s="151" t="s">
        <v>310</v>
      </c>
    </row>
    <row r="9" spans="1:5">
      <c r="A9" s="151" t="s">
        <v>311</v>
      </c>
      <c r="B9" s="151" t="s">
        <v>312</v>
      </c>
      <c r="C9" s="151" t="s">
        <v>313</v>
      </c>
      <c r="D9" s="151" t="s">
        <v>314</v>
      </c>
      <c r="E9" s="151" t="s">
        <v>315</v>
      </c>
    </row>
    <row r="10" spans="1:5">
      <c r="A10" s="151" t="s">
        <v>316</v>
      </c>
      <c r="B10" s="151" t="s">
        <v>317</v>
      </c>
      <c r="C10" s="151" t="s">
        <v>318</v>
      </c>
      <c r="D10" s="151" t="s">
        <v>319</v>
      </c>
      <c r="E10" s="151" t="s">
        <v>320</v>
      </c>
    </row>
    <row r="11" spans="1:5">
      <c r="A11" s="151" t="s">
        <v>321</v>
      </c>
      <c r="B11" s="151" t="s">
        <v>322</v>
      </c>
      <c r="C11" s="151" t="s">
        <v>323</v>
      </c>
      <c r="D11" s="151" t="s">
        <v>324</v>
      </c>
      <c r="E11" s="151" t="s">
        <v>325</v>
      </c>
    </row>
    <row r="12" spans="1:5">
      <c r="A12" s="151" t="s">
        <v>326</v>
      </c>
      <c r="B12" s="151" t="s">
        <v>327</v>
      </c>
      <c r="C12" s="151" t="s">
        <v>328</v>
      </c>
      <c r="D12" s="151" t="s">
        <v>329</v>
      </c>
      <c r="E12" s="151" t="s">
        <v>330</v>
      </c>
    </row>
    <row r="13" spans="1:5">
      <c r="A13" s="151" t="s">
        <v>331</v>
      </c>
      <c r="B13" s="151" t="s">
        <v>332</v>
      </c>
      <c r="C13" s="151" t="s">
        <v>333</v>
      </c>
      <c r="D13" s="151" t="s">
        <v>334</v>
      </c>
      <c r="E13" s="151" t="s">
        <v>335</v>
      </c>
    </row>
    <row r="14" spans="1:5">
      <c r="A14" s="151" t="s">
        <v>336</v>
      </c>
      <c r="B14" s="151" t="s">
        <v>337</v>
      </c>
      <c r="C14" s="151" t="s">
        <v>338</v>
      </c>
      <c r="D14" s="151" t="s">
        <v>339</v>
      </c>
      <c r="E14" s="151" t="s">
        <v>340</v>
      </c>
    </row>
    <row r="15" spans="1:5">
      <c r="A15" s="151" t="s">
        <v>341</v>
      </c>
      <c r="B15" s="151" t="s">
        <v>342</v>
      </c>
      <c r="C15" s="151" t="s">
        <v>343</v>
      </c>
      <c r="D15" s="151" t="s">
        <v>344</v>
      </c>
      <c r="E15" s="151" t="s">
        <v>345</v>
      </c>
    </row>
    <row r="16" spans="1:5">
      <c r="A16" s="151" t="s">
        <v>346</v>
      </c>
      <c r="B16" s="151" t="s">
        <v>347</v>
      </c>
      <c r="C16" s="151" t="s">
        <v>348</v>
      </c>
      <c r="D16" s="151" t="s">
        <v>349</v>
      </c>
      <c r="E16" s="151" t="s">
        <v>350</v>
      </c>
    </row>
    <row r="17" spans="1:5">
      <c r="A17" s="151" t="s">
        <v>351</v>
      </c>
      <c r="B17" s="151" t="s">
        <v>352</v>
      </c>
      <c r="C17" s="151" t="s">
        <v>353</v>
      </c>
      <c r="D17" s="151" t="s">
        <v>354</v>
      </c>
      <c r="E17" s="151" t="s">
        <v>355</v>
      </c>
    </row>
    <row r="18" spans="1:5">
      <c r="A18" s="151" t="s">
        <v>356</v>
      </c>
      <c r="B18" s="151" t="s">
        <v>357</v>
      </c>
      <c r="C18" s="151" t="s">
        <v>358</v>
      </c>
      <c r="D18" s="151" t="s">
        <v>359</v>
      </c>
      <c r="E18" s="151" t="s">
        <v>360</v>
      </c>
    </row>
    <row r="19" spans="1:5">
      <c r="A19" s="151" t="s">
        <v>361</v>
      </c>
      <c r="B19" s="151" t="s">
        <v>362</v>
      </c>
      <c r="C19" s="151" t="s">
        <v>363</v>
      </c>
      <c r="D19" s="151" t="s">
        <v>364</v>
      </c>
      <c r="E19" s="151" t="s">
        <v>365</v>
      </c>
    </row>
    <row r="20" spans="1:5">
      <c r="A20" s="151" t="s">
        <v>366</v>
      </c>
      <c r="B20" s="151" t="s">
        <v>367</v>
      </c>
      <c r="C20" s="151" t="s">
        <v>368</v>
      </c>
      <c r="D20" s="151" t="s">
        <v>369</v>
      </c>
      <c r="E20" s="151" t="s">
        <v>370</v>
      </c>
    </row>
    <row r="21" spans="1:5">
      <c r="A21" s="151" t="s">
        <v>371</v>
      </c>
      <c r="B21" s="151" t="s">
        <v>372</v>
      </c>
      <c r="C21" s="151" t="s">
        <v>373</v>
      </c>
      <c r="D21" s="151" t="s">
        <v>374</v>
      </c>
      <c r="E21" s="151" t="s">
        <v>375</v>
      </c>
    </row>
    <row r="22" spans="1:5">
      <c r="A22" s="151" t="s">
        <v>376</v>
      </c>
      <c r="B22" s="151" t="s">
        <v>377</v>
      </c>
      <c r="D22" s="151" t="s">
        <v>378</v>
      </c>
      <c r="E22" s="151" t="s">
        <v>379</v>
      </c>
    </row>
    <row r="23" spans="1:5">
      <c r="A23" s="151" t="s">
        <v>380</v>
      </c>
      <c r="B23" s="151" t="s">
        <v>381</v>
      </c>
      <c r="D23" s="151" t="s">
        <v>382</v>
      </c>
      <c r="E23" s="151" t="s">
        <v>383</v>
      </c>
    </row>
    <row r="24" spans="1:5">
      <c r="A24" s="151" t="s">
        <v>384</v>
      </c>
      <c r="B24" s="151" t="s">
        <v>385</v>
      </c>
      <c r="D24" s="151" t="s">
        <v>386</v>
      </c>
      <c r="E24" s="151" t="s">
        <v>387</v>
      </c>
    </row>
    <row r="25" spans="1:5">
      <c r="A25" s="151" t="s">
        <v>388</v>
      </c>
      <c r="B25" s="151" t="s">
        <v>389</v>
      </c>
      <c r="D25" s="151" t="s">
        <v>390</v>
      </c>
    </row>
    <row r="26" spans="1:5">
      <c r="A26" s="151" t="s">
        <v>391</v>
      </c>
      <c r="B26" s="151" t="s">
        <v>392</v>
      </c>
      <c r="D26" s="151" t="s">
        <v>393</v>
      </c>
    </row>
    <row r="27" spans="1:5">
      <c r="A27" s="151" t="s">
        <v>394</v>
      </c>
      <c r="B27" s="151" t="s">
        <v>395</v>
      </c>
      <c r="D27" s="151" t="s">
        <v>396</v>
      </c>
    </row>
    <row r="28" spans="1:5">
      <c r="A28" s="151" t="s">
        <v>397</v>
      </c>
      <c r="B28" s="151" t="s">
        <v>398</v>
      </c>
      <c r="D28" s="151" t="s">
        <v>399</v>
      </c>
    </row>
    <row r="29" spans="1:5">
      <c r="A29" s="151" t="s">
        <v>400</v>
      </c>
      <c r="B29" s="151" t="s">
        <v>401</v>
      </c>
      <c r="D29" s="151" t="s">
        <v>402</v>
      </c>
    </row>
    <row r="30" spans="1:5">
      <c r="A30" s="151" t="s">
        <v>403</v>
      </c>
      <c r="B30" s="151" t="s">
        <v>404</v>
      </c>
      <c r="D30" s="151" t="s">
        <v>405</v>
      </c>
    </row>
    <row r="31" spans="1:5">
      <c r="A31" s="151" t="s">
        <v>406</v>
      </c>
      <c r="B31" s="151" t="s">
        <v>407</v>
      </c>
      <c r="D31" s="151" t="s">
        <v>408</v>
      </c>
    </row>
    <row r="32" spans="1:5">
      <c r="A32" s="151" t="s">
        <v>409</v>
      </c>
      <c r="B32" s="151" t="s">
        <v>410</v>
      </c>
      <c r="D32" s="151" t="s">
        <v>411</v>
      </c>
    </row>
    <row r="33" spans="1:4">
      <c r="A33" s="151" t="s">
        <v>412</v>
      </c>
      <c r="B33" s="151" t="s">
        <v>413</v>
      </c>
      <c r="D33" s="151" t="s">
        <v>414</v>
      </c>
    </row>
    <row r="34" spans="1:4">
      <c r="A34" s="151" t="s">
        <v>415</v>
      </c>
      <c r="B34" s="151" t="s">
        <v>416</v>
      </c>
      <c r="D34" s="151" t="s">
        <v>417</v>
      </c>
    </row>
    <row r="35" spans="1:4">
      <c r="A35" s="151" t="s">
        <v>418</v>
      </c>
      <c r="B35" s="151" t="s">
        <v>419</v>
      </c>
      <c r="D35" s="151" t="s">
        <v>420</v>
      </c>
    </row>
    <row r="36" spans="1:4">
      <c r="A36" s="151" t="s">
        <v>421</v>
      </c>
      <c r="B36" s="151" t="s">
        <v>422</v>
      </c>
      <c r="D36" s="151" t="s">
        <v>423</v>
      </c>
    </row>
    <row r="37" spans="1:4">
      <c r="A37" s="151" t="s">
        <v>424</v>
      </c>
      <c r="B37" s="151" t="s">
        <v>425</v>
      </c>
      <c r="D37" s="151" t="s">
        <v>426</v>
      </c>
    </row>
    <row r="38" spans="1:4">
      <c r="A38" s="151" t="s">
        <v>427</v>
      </c>
      <c r="B38" s="151" t="s">
        <v>428</v>
      </c>
      <c r="D38" s="151" t="s">
        <v>429</v>
      </c>
    </row>
    <row r="39" spans="1:4">
      <c r="A39" s="151" t="s">
        <v>430</v>
      </c>
      <c r="B39" s="151" t="s">
        <v>431</v>
      </c>
      <c r="D39" s="151" t="s">
        <v>432</v>
      </c>
    </row>
    <row r="40" spans="1:4">
      <c r="A40" s="151" t="s">
        <v>433</v>
      </c>
      <c r="B40" s="151" t="s">
        <v>434</v>
      </c>
      <c r="D40" s="151" t="s">
        <v>435</v>
      </c>
    </row>
    <row r="41" spans="1:4">
      <c r="A41" s="151" t="s">
        <v>436</v>
      </c>
      <c r="B41" s="151" t="s">
        <v>437</v>
      </c>
      <c r="D41" s="151" t="s">
        <v>438</v>
      </c>
    </row>
    <row r="42" spans="1:4">
      <c r="A42" s="151" t="s">
        <v>439</v>
      </c>
      <c r="B42" s="151" t="s">
        <v>440</v>
      </c>
      <c r="D42" s="151" t="s">
        <v>441</v>
      </c>
    </row>
    <row r="43" spans="1:4">
      <c r="A43" s="151" t="s">
        <v>442</v>
      </c>
      <c r="B43" s="151" t="s">
        <v>443</v>
      </c>
      <c r="D43" s="151" t="s">
        <v>444</v>
      </c>
    </row>
    <row r="44" spans="1:4">
      <c r="A44" s="151" t="s">
        <v>445</v>
      </c>
      <c r="B44" s="151" t="s">
        <v>446</v>
      </c>
      <c r="D44" s="151" t="s">
        <v>447</v>
      </c>
    </row>
    <row r="45" spans="1:4">
      <c r="A45" s="151" t="s">
        <v>448</v>
      </c>
      <c r="B45" s="151" t="s">
        <v>449</v>
      </c>
      <c r="D45" s="151" t="s">
        <v>450</v>
      </c>
    </row>
    <row r="46" spans="1:4">
      <c r="A46" s="151" t="s">
        <v>451</v>
      </c>
      <c r="B46" s="151" t="s">
        <v>452</v>
      </c>
      <c r="D46" s="151" t="s">
        <v>453</v>
      </c>
    </row>
    <row r="47" spans="1:4">
      <c r="A47" s="151" t="s">
        <v>454</v>
      </c>
      <c r="B47" s="151" t="s">
        <v>455</v>
      </c>
      <c r="D47" s="151" t="s">
        <v>456</v>
      </c>
    </row>
    <row r="48" spans="1:4">
      <c r="A48" s="151" t="s">
        <v>457</v>
      </c>
      <c r="B48" s="151" t="s">
        <v>458</v>
      </c>
      <c r="D48" s="151" t="s">
        <v>459</v>
      </c>
    </row>
    <row r="49" spans="1:4">
      <c r="A49" s="151" t="s">
        <v>460</v>
      </c>
      <c r="B49" s="151" t="s">
        <v>461</v>
      </c>
      <c r="D49" s="151" t="s">
        <v>462</v>
      </c>
    </row>
    <row r="50" spans="1:4">
      <c r="A50" s="151" t="s">
        <v>463</v>
      </c>
      <c r="B50" s="151" t="s">
        <v>464</v>
      </c>
      <c r="D50" s="151" t="s">
        <v>465</v>
      </c>
    </row>
    <row r="51" spans="1:4">
      <c r="A51" s="151" t="s">
        <v>466</v>
      </c>
      <c r="B51" s="151" t="s">
        <v>467</v>
      </c>
      <c r="D51" s="151" t="s">
        <v>468</v>
      </c>
    </row>
    <row r="52" spans="1:4">
      <c r="A52" s="151" t="s">
        <v>469</v>
      </c>
      <c r="B52" s="151" t="s">
        <v>470</v>
      </c>
      <c r="D52" s="151" t="s">
        <v>471</v>
      </c>
    </row>
    <row r="53" spans="1:4">
      <c r="A53" s="151" t="s">
        <v>472</v>
      </c>
      <c r="B53" s="151" t="s">
        <v>473</v>
      </c>
      <c r="D53" s="151" t="s">
        <v>474</v>
      </c>
    </row>
    <row r="54" spans="1:4">
      <c r="A54" s="151" t="s">
        <v>475</v>
      </c>
      <c r="B54" s="151" t="s">
        <v>476</v>
      </c>
      <c r="D54" s="151" t="s">
        <v>477</v>
      </c>
    </row>
    <row r="55" spans="1:4">
      <c r="A55" s="151" t="s">
        <v>478</v>
      </c>
      <c r="B55" s="151" t="s">
        <v>479</v>
      </c>
      <c r="D55" s="151" t="s">
        <v>480</v>
      </c>
    </row>
    <row r="56" spans="1:4">
      <c r="A56" s="151" t="s">
        <v>481</v>
      </c>
      <c r="B56" s="151" t="s">
        <v>482</v>
      </c>
      <c r="D56" s="151" t="s">
        <v>483</v>
      </c>
    </row>
    <row r="57" spans="1:4">
      <c r="A57" s="151" t="s">
        <v>484</v>
      </c>
      <c r="B57" s="151" t="s">
        <v>485</v>
      </c>
      <c r="D57" s="151" t="s">
        <v>486</v>
      </c>
    </row>
    <row r="58" spans="1:4">
      <c r="A58" s="151" t="s">
        <v>487</v>
      </c>
      <c r="B58" s="151" t="s">
        <v>488</v>
      </c>
      <c r="D58" s="151" t="s">
        <v>489</v>
      </c>
    </row>
    <row r="59" spans="1:4">
      <c r="A59" s="151" t="s">
        <v>490</v>
      </c>
      <c r="B59" s="151" t="s">
        <v>491</v>
      </c>
      <c r="D59" s="151" t="s">
        <v>492</v>
      </c>
    </row>
    <row r="60" spans="1:4">
      <c r="A60" s="151" t="s">
        <v>493</v>
      </c>
      <c r="B60" s="151" t="s">
        <v>494</v>
      </c>
      <c r="D60" s="151" t="s">
        <v>495</v>
      </c>
    </row>
    <row r="61" spans="1:4">
      <c r="A61" s="151" t="s">
        <v>496</v>
      </c>
      <c r="B61" s="151" t="s">
        <v>497</v>
      </c>
      <c r="D61" s="151" t="s">
        <v>498</v>
      </c>
    </row>
    <row r="62" spans="1:4">
      <c r="A62" s="151" t="s">
        <v>499</v>
      </c>
      <c r="B62" s="151" t="s">
        <v>500</v>
      </c>
      <c r="D62" s="151" t="s">
        <v>501</v>
      </c>
    </row>
    <row r="63" spans="1:4">
      <c r="A63" s="151" t="s">
        <v>502</v>
      </c>
      <c r="B63" s="151" t="s">
        <v>503</v>
      </c>
      <c r="D63" s="151" t="s">
        <v>504</v>
      </c>
    </row>
    <row r="64" spans="1:4">
      <c r="A64" s="151" t="s">
        <v>505</v>
      </c>
      <c r="B64" s="151" t="s">
        <v>506</v>
      </c>
      <c r="D64" s="151" t="s">
        <v>507</v>
      </c>
    </row>
    <row r="65" spans="1:4">
      <c r="A65" s="151" t="s">
        <v>508</v>
      </c>
      <c r="B65" s="151" t="s">
        <v>509</v>
      </c>
      <c r="D65" s="151" t="s">
        <v>510</v>
      </c>
    </row>
    <row r="66" spans="1:4">
      <c r="A66" s="151" t="s">
        <v>511</v>
      </c>
      <c r="B66" s="151" t="s">
        <v>512</v>
      </c>
      <c r="D66" s="151" t="s">
        <v>513</v>
      </c>
    </row>
    <row r="67" spans="1:4">
      <c r="A67" s="151" t="s">
        <v>514</v>
      </c>
      <c r="B67" s="151" t="s">
        <v>515</v>
      </c>
      <c r="D67" s="151" t="s">
        <v>516</v>
      </c>
    </row>
    <row r="68" spans="1:4">
      <c r="A68" s="151" t="s">
        <v>517</v>
      </c>
      <c r="B68" s="151" t="s">
        <v>518</v>
      </c>
      <c r="D68" s="151" t="s">
        <v>519</v>
      </c>
    </row>
    <row r="69" spans="1:4">
      <c r="A69" s="151" t="s">
        <v>520</v>
      </c>
      <c r="B69" s="151" t="s">
        <v>521</v>
      </c>
      <c r="D69" s="151" t="s">
        <v>522</v>
      </c>
    </row>
    <row r="70" spans="1:4">
      <c r="A70" s="151" t="s">
        <v>523</v>
      </c>
      <c r="B70" s="151" t="s">
        <v>524</v>
      </c>
      <c r="D70" s="151" t="s">
        <v>525</v>
      </c>
    </row>
    <row r="71" spans="1:4">
      <c r="A71" s="151" t="s">
        <v>526</v>
      </c>
      <c r="B71" s="151" t="s">
        <v>527</v>
      </c>
      <c r="D71" s="151" t="s">
        <v>528</v>
      </c>
    </row>
    <row r="72" spans="1:4">
      <c r="A72" s="151" t="s">
        <v>529</v>
      </c>
      <c r="B72" s="151" t="s">
        <v>530</v>
      </c>
      <c r="D72" s="151" t="s">
        <v>531</v>
      </c>
    </row>
    <row r="73" spans="1:4">
      <c r="A73" s="151" t="s">
        <v>532</v>
      </c>
      <c r="B73" s="151" t="s">
        <v>533</v>
      </c>
      <c r="D73" s="151" t="s">
        <v>534</v>
      </c>
    </row>
    <row r="74" spans="1:4">
      <c r="A74" s="151" t="s">
        <v>535</v>
      </c>
      <c r="B74" s="151" t="s">
        <v>536</v>
      </c>
      <c r="D74" s="151" t="s">
        <v>537</v>
      </c>
    </row>
    <row r="75" spans="1:4">
      <c r="A75" s="151" t="s">
        <v>538</v>
      </c>
      <c r="B75" s="151" t="s">
        <v>539</v>
      </c>
      <c r="D75" s="151" t="s">
        <v>540</v>
      </c>
    </row>
    <row r="76" spans="1:4">
      <c r="A76" s="151" t="s">
        <v>255</v>
      </c>
      <c r="B76" s="151" t="s">
        <v>541</v>
      </c>
      <c r="D76" s="151" t="s">
        <v>542</v>
      </c>
    </row>
    <row r="77" spans="1:4">
      <c r="A77" s="151" t="s">
        <v>543</v>
      </c>
      <c r="B77" s="151" t="s">
        <v>544</v>
      </c>
      <c r="D77" s="151" t="s">
        <v>545</v>
      </c>
    </row>
    <row r="78" spans="1:4">
      <c r="A78" s="151" t="s">
        <v>546</v>
      </c>
      <c r="B78" s="151" t="s">
        <v>547</v>
      </c>
      <c r="D78" s="151" t="s">
        <v>548</v>
      </c>
    </row>
    <row r="79" spans="1:4">
      <c r="A79" s="151" t="s">
        <v>549</v>
      </c>
      <c r="B79" s="151" t="s">
        <v>550</v>
      </c>
      <c r="D79" s="151" t="s">
        <v>551</v>
      </c>
    </row>
    <row r="80" spans="1:4">
      <c r="A80" s="151" t="s">
        <v>552</v>
      </c>
      <c r="B80" s="151" t="s">
        <v>553</v>
      </c>
      <c r="D80" s="151" t="s">
        <v>554</v>
      </c>
    </row>
    <row r="81" spans="1:4">
      <c r="A81" s="151" t="s">
        <v>555</v>
      </c>
      <c r="B81" s="151" t="s">
        <v>556</v>
      </c>
      <c r="D81" s="151" t="s">
        <v>557</v>
      </c>
    </row>
    <row r="82" spans="1:4">
      <c r="A82" s="151" t="s">
        <v>558</v>
      </c>
      <c r="B82" s="151" t="s">
        <v>559</v>
      </c>
      <c r="D82" s="151" t="s">
        <v>560</v>
      </c>
    </row>
    <row r="83" spans="1:4">
      <c r="A83" s="151" t="s">
        <v>561</v>
      </c>
      <c r="B83" s="151" t="s">
        <v>562</v>
      </c>
      <c r="D83" s="151" t="s">
        <v>563</v>
      </c>
    </row>
    <row r="84" spans="1:4">
      <c r="A84" s="151" t="s">
        <v>564</v>
      </c>
      <c r="B84" s="151" t="s">
        <v>565</v>
      </c>
      <c r="D84" s="151" t="s">
        <v>566</v>
      </c>
    </row>
    <row r="85" spans="1:4">
      <c r="A85" s="151" t="s">
        <v>567</v>
      </c>
      <c r="B85" s="151" t="s">
        <v>568</v>
      </c>
      <c r="D85" s="151" t="s">
        <v>569</v>
      </c>
    </row>
    <row r="86" spans="1:4">
      <c r="A86" s="151" t="s">
        <v>570</v>
      </c>
      <c r="B86" s="151" t="s">
        <v>571</v>
      </c>
      <c r="D86" s="151" t="s">
        <v>572</v>
      </c>
    </row>
    <row r="87" spans="1:4">
      <c r="A87" s="151" t="s">
        <v>573</v>
      </c>
      <c r="B87" s="151" t="s">
        <v>574</v>
      </c>
      <c r="D87" s="151" t="s">
        <v>575</v>
      </c>
    </row>
    <row r="88" spans="1:4">
      <c r="A88" s="151" t="s">
        <v>576</v>
      </c>
      <c r="B88" s="151" t="s">
        <v>577</v>
      </c>
      <c r="D88" s="151" t="s">
        <v>578</v>
      </c>
    </row>
    <row r="89" spans="1:4">
      <c r="A89" s="151" t="s">
        <v>579</v>
      </c>
      <c r="B89" s="151" t="s">
        <v>580</v>
      </c>
      <c r="D89" s="151" t="s">
        <v>581</v>
      </c>
    </row>
    <row r="90" spans="1:4">
      <c r="A90" s="151" t="s">
        <v>582</v>
      </c>
      <c r="B90" s="151" t="s">
        <v>583</v>
      </c>
      <c r="D90" s="151" t="s">
        <v>584</v>
      </c>
    </row>
    <row r="91" spans="1:4">
      <c r="A91" s="151" t="s">
        <v>585</v>
      </c>
      <c r="B91" s="151" t="s">
        <v>586</v>
      </c>
      <c r="D91" s="151" t="s">
        <v>587</v>
      </c>
    </row>
    <row r="92" spans="1:4">
      <c r="A92" s="151" t="s">
        <v>588</v>
      </c>
      <c r="B92" s="151" t="s">
        <v>589</v>
      </c>
      <c r="D92" s="151" t="s">
        <v>590</v>
      </c>
    </row>
    <row r="93" spans="1:4">
      <c r="A93" s="151" t="s">
        <v>591</v>
      </c>
      <c r="B93" s="151" t="s">
        <v>592</v>
      </c>
      <c r="D93" s="151" t="s">
        <v>593</v>
      </c>
    </row>
    <row r="94" spans="1:4">
      <c r="A94" s="151" t="s">
        <v>594</v>
      </c>
      <c r="B94" s="151" t="s">
        <v>595</v>
      </c>
      <c r="D94" s="151" t="s">
        <v>596</v>
      </c>
    </row>
    <row r="95" spans="1:4">
      <c r="A95" s="151" t="s">
        <v>597</v>
      </c>
      <c r="B95" s="151" t="s">
        <v>598</v>
      </c>
      <c r="D95" s="151" t="s">
        <v>119</v>
      </c>
    </row>
    <row r="96" spans="1:4">
      <c r="A96" s="151" t="s">
        <v>599</v>
      </c>
      <c r="B96" s="151" t="s">
        <v>600</v>
      </c>
      <c r="D96" s="151" t="s">
        <v>601</v>
      </c>
    </row>
    <row r="97" spans="1:4">
      <c r="A97" s="151" t="s">
        <v>602</v>
      </c>
      <c r="B97" s="151" t="s">
        <v>603</v>
      </c>
      <c r="D97" s="151" t="s">
        <v>604</v>
      </c>
    </row>
    <row r="98" spans="1:4">
      <c r="A98" s="151" t="s">
        <v>605</v>
      </c>
      <c r="B98" s="151" t="s">
        <v>606</v>
      </c>
      <c r="D98" s="151" t="s">
        <v>607</v>
      </c>
    </row>
    <row r="99" spans="1:4">
      <c r="A99" s="151" t="s">
        <v>608</v>
      </c>
      <c r="B99" s="151" t="s">
        <v>609</v>
      </c>
      <c r="D99" s="151" t="s">
        <v>610</v>
      </c>
    </row>
    <row r="100" spans="1:4">
      <c r="A100" s="151" t="s">
        <v>611</v>
      </c>
      <c r="B100" s="151" t="s">
        <v>612</v>
      </c>
      <c r="D100" s="151" t="s">
        <v>613</v>
      </c>
    </row>
    <row r="101" spans="1:4">
      <c r="A101" s="151" t="s">
        <v>614</v>
      </c>
      <c r="B101" s="151" t="s">
        <v>615</v>
      </c>
      <c r="D101" s="151" t="s">
        <v>616</v>
      </c>
    </row>
    <row r="102" spans="1:4">
      <c r="A102" s="151" t="s">
        <v>617</v>
      </c>
      <c r="B102" s="151" t="s">
        <v>618</v>
      </c>
      <c r="D102" s="151" t="s">
        <v>619</v>
      </c>
    </row>
    <row r="103" spans="1:4">
      <c r="A103" s="151" t="s">
        <v>620</v>
      </c>
      <c r="B103" s="151" t="s">
        <v>621</v>
      </c>
      <c r="D103" s="151" t="s">
        <v>622</v>
      </c>
    </row>
    <row r="104" spans="1:4">
      <c r="A104" s="151" t="s">
        <v>623</v>
      </c>
      <c r="B104" s="151" t="s">
        <v>624</v>
      </c>
      <c r="D104" s="151" t="s">
        <v>625</v>
      </c>
    </row>
    <row r="105" spans="1:4">
      <c r="A105" s="151" t="s">
        <v>626</v>
      </c>
      <c r="B105" s="151" t="s">
        <v>627</v>
      </c>
      <c r="D105" s="151" t="s">
        <v>628</v>
      </c>
    </row>
    <row r="106" spans="1:4">
      <c r="A106" s="151" t="s">
        <v>629</v>
      </c>
      <c r="B106" s="151" t="s">
        <v>630</v>
      </c>
      <c r="D106" s="151" t="s">
        <v>631</v>
      </c>
    </row>
    <row r="107" spans="1:4">
      <c r="A107" s="151" t="s">
        <v>632</v>
      </c>
      <c r="B107" s="151" t="s">
        <v>633</v>
      </c>
      <c r="D107" s="151" t="s">
        <v>634</v>
      </c>
    </row>
    <row r="108" spans="1:4">
      <c r="A108" s="151" t="s">
        <v>635</v>
      </c>
      <c r="B108" s="151" t="s">
        <v>636</v>
      </c>
      <c r="D108" s="151" t="s">
        <v>637</v>
      </c>
    </row>
    <row r="109" spans="1:4">
      <c r="A109" s="151" t="s">
        <v>638</v>
      </c>
      <c r="B109" s="151" t="s">
        <v>639</v>
      </c>
      <c r="D109" s="151" t="s">
        <v>640</v>
      </c>
    </row>
    <row r="110" spans="1:4">
      <c r="A110" s="151" t="s">
        <v>641</v>
      </c>
      <c r="B110" s="151" t="s">
        <v>642</v>
      </c>
      <c r="D110" s="151" t="s">
        <v>643</v>
      </c>
    </row>
    <row r="111" spans="1:4">
      <c r="A111" s="151" t="s">
        <v>644</v>
      </c>
      <c r="B111" s="151" t="s">
        <v>645</v>
      </c>
      <c r="D111" s="151" t="s">
        <v>646</v>
      </c>
    </row>
    <row r="112" spans="1:4">
      <c r="A112" s="151" t="s">
        <v>647</v>
      </c>
      <c r="B112" s="151" t="s">
        <v>648</v>
      </c>
      <c r="D112" s="151" t="s">
        <v>649</v>
      </c>
    </row>
    <row r="113" spans="1:4">
      <c r="A113" s="151" t="s">
        <v>650</v>
      </c>
      <c r="B113" s="151" t="s">
        <v>651</v>
      </c>
      <c r="D113" s="151" t="s">
        <v>652</v>
      </c>
    </row>
    <row r="114" spans="1:4">
      <c r="A114" s="151" t="s">
        <v>653</v>
      </c>
      <c r="B114" s="151" t="s">
        <v>654</v>
      </c>
      <c r="D114" s="151" t="s">
        <v>655</v>
      </c>
    </row>
    <row r="115" spans="1:4">
      <c r="A115" s="151" t="s">
        <v>656</v>
      </c>
      <c r="B115" s="151" t="s">
        <v>657</v>
      </c>
      <c r="D115" s="151" t="s">
        <v>658</v>
      </c>
    </row>
    <row r="116" spans="1:4">
      <c r="A116" s="151" t="s">
        <v>659</v>
      </c>
      <c r="B116" s="151" t="s">
        <v>660</v>
      </c>
      <c r="D116" s="151" t="s">
        <v>661</v>
      </c>
    </row>
    <row r="117" spans="1:4">
      <c r="A117" s="151" t="s">
        <v>662</v>
      </c>
      <c r="B117" s="151" t="s">
        <v>663</v>
      </c>
      <c r="D117" s="151" t="s">
        <v>664</v>
      </c>
    </row>
    <row r="118" spans="1:4">
      <c r="A118" s="151" t="s">
        <v>665</v>
      </c>
      <c r="B118" s="151" t="s">
        <v>666</v>
      </c>
      <c r="D118" s="151" t="s">
        <v>667</v>
      </c>
    </row>
    <row r="119" spans="1:4">
      <c r="A119" s="151" t="s">
        <v>668</v>
      </c>
      <c r="B119" s="151" t="s">
        <v>669</v>
      </c>
      <c r="D119" s="151" t="s">
        <v>670</v>
      </c>
    </row>
    <row r="120" spans="1:4">
      <c r="A120" s="151" t="s">
        <v>671</v>
      </c>
      <c r="B120" s="151" t="s">
        <v>672</v>
      </c>
      <c r="D120" s="151" t="s">
        <v>673</v>
      </c>
    </row>
    <row r="121" spans="1:4">
      <c r="A121" s="151" t="s">
        <v>674</v>
      </c>
      <c r="B121" s="151" t="s">
        <v>675</v>
      </c>
      <c r="D121" s="151" t="s">
        <v>676</v>
      </c>
    </row>
    <row r="122" spans="1:4">
      <c r="A122" s="151" t="s">
        <v>677</v>
      </c>
      <c r="B122" s="151" t="s">
        <v>678</v>
      </c>
      <c r="D122" s="151" t="s">
        <v>679</v>
      </c>
    </row>
    <row r="123" spans="1:4">
      <c r="A123" s="151" t="s">
        <v>680</v>
      </c>
      <c r="B123" s="151" t="s">
        <v>681</v>
      </c>
      <c r="D123" s="151" t="s">
        <v>682</v>
      </c>
    </row>
    <row r="124" spans="1:4">
      <c r="A124" s="151" t="s">
        <v>683</v>
      </c>
      <c r="B124" s="151" t="s">
        <v>684</v>
      </c>
      <c r="D124" s="151" t="s">
        <v>685</v>
      </c>
    </row>
    <row r="125" spans="1:4">
      <c r="A125" s="151" t="s">
        <v>686</v>
      </c>
      <c r="B125" s="151" t="s">
        <v>687</v>
      </c>
      <c r="D125" s="151" t="s">
        <v>688</v>
      </c>
    </row>
    <row r="126" spans="1:4">
      <c r="A126" s="151" t="s">
        <v>689</v>
      </c>
      <c r="B126" s="151" t="s">
        <v>690</v>
      </c>
      <c r="D126" s="151" t="s">
        <v>691</v>
      </c>
    </row>
    <row r="127" spans="1:4">
      <c r="A127" s="151" t="s">
        <v>692</v>
      </c>
      <c r="B127" s="151" t="s">
        <v>693</v>
      </c>
      <c r="D127" s="151" t="s">
        <v>694</v>
      </c>
    </row>
    <row r="128" spans="1:4">
      <c r="A128" s="151" t="s">
        <v>695</v>
      </c>
      <c r="B128" s="151" t="s">
        <v>696</v>
      </c>
      <c r="D128" s="151" t="s">
        <v>697</v>
      </c>
    </row>
    <row r="129" spans="1:4">
      <c r="A129" s="151" t="s">
        <v>698</v>
      </c>
      <c r="B129" s="151" t="s">
        <v>699</v>
      </c>
      <c r="D129" s="151" t="s">
        <v>700</v>
      </c>
    </row>
    <row r="130" spans="1:4">
      <c r="A130" s="151" t="s">
        <v>701</v>
      </c>
      <c r="B130" s="151" t="s">
        <v>702</v>
      </c>
      <c r="D130" s="151" t="s">
        <v>703</v>
      </c>
    </row>
    <row r="131" spans="1:4">
      <c r="A131" s="151" t="s">
        <v>704</v>
      </c>
      <c r="B131" s="151" t="s">
        <v>705</v>
      </c>
      <c r="D131" s="151" t="s">
        <v>706</v>
      </c>
    </row>
    <row r="132" spans="1:4">
      <c r="A132" s="151" t="s">
        <v>707</v>
      </c>
      <c r="B132" s="151" t="s">
        <v>708</v>
      </c>
      <c r="D132" s="151" t="s">
        <v>709</v>
      </c>
    </row>
    <row r="133" spans="1:4">
      <c r="A133" s="151" t="s">
        <v>710</v>
      </c>
      <c r="B133" s="151" t="s">
        <v>711</v>
      </c>
      <c r="D133" s="151" t="s">
        <v>712</v>
      </c>
    </row>
    <row r="134" spans="1:4">
      <c r="A134" s="151" t="s">
        <v>713</v>
      </c>
      <c r="B134" s="151" t="s">
        <v>714</v>
      </c>
      <c r="D134" s="151" t="s">
        <v>715</v>
      </c>
    </row>
    <row r="135" spans="1:4">
      <c r="A135" s="151" t="s">
        <v>716</v>
      </c>
      <c r="B135" s="151" t="s">
        <v>717</v>
      </c>
      <c r="D135" s="151" t="s">
        <v>718</v>
      </c>
    </row>
    <row r="136" spans="1:4">
      <c r="A136" s="151" t="s">
        <v>719</v>
      </c>
      <c r="B136" s="151" t="s">
        <v>720</v>
      </c>
      <c r="D136" s="151" t="s">
        <v>721</v>
      </c>
    </row>
    <row r="137" spans="1:4">
      <c r="A137" s="151" t="s">
        <v>722</v>
      </c>
      <c r="B137" s="151" t="s">
        <v>723</v>
      </c>
      <c r="D137" s="151" t="s">
        <v>724</v>
      </c>
    </row>
    <row r="138" spans="1:4">
      <c r="A138" s="151" t="s">
        <v>725</v>
      </c>
      <c r="B138" s="151" t="s">
        <v>726</v>
      </c>
      <c r="D138" s="151" t="s">
        <v>727</v>
      </c>
    </row>
    <row r="139" spans="1:4">
      <c r="A139" s="151" t="s">
        <v>728</v>
      </c>
      <c r="B139" s="151" t="s">
        <v>729</v>
      </c>
      <c r="D139" s="151" t="s">
        <v>730</v>
      </c>
    </row>
    <row r="140" spans="1:4">
      <c r="A140" s="151" t="s">
        <v>731</v>
      </c>
      <c r="B140" s="151" t="s">
        <v>732</v>
      </c>
      <c r="D140" s="151" t="s">
        <v>733</v>
      </c>
    </row>
    <row r="141" spans="1:4">
      <c r="A141" s="151" t="s">
        <v>734</v>
      </c>
      <c r="B141" s="151" t="s">
        <v>735</v>
      </c>
      <c r="D141" s="151" t="s">
        <v>736</v>
      </c>
    </row>
    <row r="142" spans="1:4">
      <c r="A142" s="151" t="s">
        <v>737</v>
      </c>
      <c r="B142" s="151" t="s">
        <v>738</v>
      </c>
      <c r="D142" s="151" t="s">
        <v>739</v>
      </c>
    </row>
    <row r="143" spans="1:4">
      <c r="A143" s="151" t="s">
        <v>740</v>
      </c>
      <c r="B143" s="151" t="s">
        <v>741</v>
      </c>
      <c r="D143" s="151" t="s">
        <v>742</v>
      </c>
    </row>
    <row r="144" spans="1:4">
      <c r="A144" s="151" t="s">
        <v>743</v>
      </c>
      <c r="B144" s="151" t="s">
        <v>744</v>
      </c>
      <c r="D144" s="151" t="s">
        <v>745</v>
      </c>
    </row>
    <row r="145" spans="1:4">
      <c r="A145" s="151" t="s">
        <v>746</v>
      </c>
      <c r="B145" s="151" t="s">
        <v>747</v>
      </c>
      <c r="D145" s="151" t="s">
        <v>748</v>
      </c>
    </row>
    <row r="146" spans="1:4">
      <c r="A146" s="151" t="s">
        <v>749</v>
      </c>
      <c r="B146" s="151" t="s">
        <v>750</v>
      </c>
      <c r="D146" s="151" t="s">
        <v>751</v>
      </c>
    </row>
    <row r="147" spans="1:4">
      <c r="A147" s="151" t="s">
        <v>752</v>
      </c>
      <c r="B147" s="151" t="s">
        <v>753</v>
      </c>
      <c r="D147" s="151" t="s">
        <v>754</v>
      </c>
    </row>
    <row r="148" spans="1:4">
      <c r="A148" s="151" t="s">
        <v>755</v>
      </c>
      <c r="B148" s="151" t="s">
        <v>756</v>
      </c>
      <c r="D148" s="151" t="s">
        <v>757</v>
      </c>
    </row>
    <row r="149" spans="1:4">
      <c r="A149" s="151" t="s">
        <v>758</v>
      </c>
      <c r="B149" s="151" t="s">
        <v>759</v>
      </c>
      <c r="D149" s="151" t="s">
        <v>760</v>
      </c>
    </row>
    <row r="150" spans="1:4">
      <c r="A150" s="151" t="s">
        <v>761</v>
      </c>
      <c r="B150" s="151" t="s">
        <v>762</v>
      </c>
      <c r="D150" s="151" t="s">
        <v>763</v>
      </c>
    </row>
    <row r="151" spans="1:4">
      <c r="A151" s="151" t="s">
        <v>764</v>
      </c>
      <c r="B151" s="151" t="s">
        <v>765</v>
      </c>
      <c r="D151" s="151" t="s">
        <v>766</v>
      </c>
    </row>
    <row r="152" spans="1:4">
      <c r="A152" s="151" t="s">
        <v>767</v>
      </c>
      <c r="B152" s="151" t="s">
        <v>768</v>
      </c>
      <c r="D152" s="151" t="s">
        <v>769</v>
      </c>
    </row>
    <row r="153" spans="1:4">
      <c r="A153" s="151" t="s">
        <v>770</v>
      </c>
      <c r="B153" s="151" t="s">
        <v>771</v>
      </c>
      <c r="D153" s="151" t="s">
        <v>772</v>
      </c>
    </row>
    <row r="154" spans="1:4">
      <c r="A154" s="151" t="s">
        <v>773</v>
      </c>
      <c r="B154" s="151" t="s">
        <v>774</v>
      </c>
      <c r="D154" s="151" t="s">
        <v>775</v>
      </c>
    </row>
    <row r="155" spans="1:4">
      <c r="A155" s="151" t="s">
        <v>776</v>
      </c>
      <c r="B155" s="151" t="s">
        <v>777</v>
      </c>
      <c r="D155" s="151" t="s">
        <v>778</v>
      </c>
    </row>
    <row r="156" spans="1:4">
      <c r="A156" s="151" t="s">
        <v>779</v>
      </c>
      <c r="B156" s="151" t="s">
        <v>780</v>
      </c>
      <c r="D156" s="151" t="s">
        <v>781</v>
      </c>
    </row>
    <row r="157" spans="1:4">
      <c r="A157" s="151" t="s">
        <v>782</v>
      </c>
      <c r="B157" s="151" t="s">
        <v>783</v>
      </c>
      <c r="D157" s="151" t="s">
        <v>784</v>
      </c>
    </row>
    <row r="158" spans="1:4">
      <c r="A158" s="151" t="s">
        <v>785</v>
      </c>
      <c r="B158" s="151" t="s">
        <v>786</v>
      </c>
      <c r="D158" s="151" t="s">
        <v>787</v>
      </c>
    </row>
    <row r="159" spans="1:4">
      <c r="A159" s="151" t="s">
        <v>788</v>
      </c>
      <c r="B159" s="151" t="s">
        <v>789</v>
      </c>
      <c r="D159" s="151" t="s">
        <v>790</v>
      </c>
    </row>
    <row r="160" spans="1:4">
      <c r="A160" s="151" t="s">
        <v>791</v>
      </c>
      <c r="B160" s="151" t="s">
        <v>792</v>
      </c>
      <c r="D160" s="151" t="s">
        <v>793</v>
      </c>
    </row>
    <row r="161" spans="1:4">
      <c r="A161" s="151" t="s">
        <v>794</v>
      </c>
      <c r="B161" s="151" t="s">
        <v>795</v>
      </c>
      <c r="D161" s="151" t="s">
        <v>796</v>
      </c>
    </row>
    <row r="162" spans="1:4">
      <c r="A162" s="151" t="s">
        <v>797</v>
      </c>
      <c r="B162" s="151" t="s">
        <v>798</v>
      </c>
      <c r="D162" s="151" t="s">
        <v>799</v>
      </c>
    </row>
    <row r="163" spans="1:4">
      <c r="A163" s="151" t="s">
        <v>800</v>
      </c>
      <c r="B163" s="151" t="s">
        <v>801</v>
      </c>
      <c r="D163" s="151" t="s">
        <v>802</v>
      </c>
    </row>
    <row r="164" spans="1:4">
      <c r="A164" s="151" t="s">
        <v>803</v>
      </c>
      <c r="B164" s="151" t="s">
        <v>804</v>
      </c>
      <c r="D164" s="151" t="s">
        <v>805</v>
      </c>
    </row>
    <row r="165" spans="1:4">
      <c r="A165" s="151" t="s">
        <v>806</v>
      </c>
      <c r="B165" s="151" t="s">
        <v>807</v>
      </c>
      <c r="D165" s="151" t="s">
        <v>808</v>
      </c>
    </row>
    <row r="166" spans="1:4">
      <c r="A166" s="151" t="s">
        <v>809</v>
      </c>
      <c r="B166" s="151" t="s">
        <v>810</v>
      </c>
      <c r="D166" s="151" t="s">
        <v>811</v>
      </c>
    </row>
    <row r="167" spans="1:4">
      <c r="A167" s="151" t="s">
        <v>812</v>
      </c>
      <c r="B167" s="151" t="s">
        <v>813</v>
      </c>
      <c r="D167" s="151" t="s">
        <v>814</v>
      </c>
    </row>
    <row r="168" spans="1:4">
      <c r="A168" s="151" t="s">
        <v>815</v>
      </c>
      <c r="B168" s="151" t="s">
        <v>816</v>
      </c>
      <c r="D168" s="151" t="s">
        <v>817</v>
      </c>
    </row>
    <row r="169" spans="1:4">
      <c r="A169" s="151" t="s">
        <v>818</v>
      </c>
      <c r="B169" s="151" t="s">
        <v>819</v>
      </c>
      <c r="D169" s="151" t="s">
        <v>820</v>
      </c>
    </row>
    <row r="170" spans="1:4">
      <c r="A170" s="151" t="s">
        <v>821</v>
      </c>
      <c r="B170" s="151" t="s">
        <v>822</v>
      </c>
      <c r="D170" s="151" t="s">
        <v>823</v>
      </c>
    </row>
    <row r="171" spans="1:4">
      <c r="A171" s="151" t="s">
        <v>824</v>
      </c>
      <c r="B171" s="151" t="s">
        <v>825</v>
      </c>
      <c r="D171" s="151" t="s">
        <v>826</v>
      </c>
    </row>
    <row r="172" spans="1:4">
      <c r="A172" s="151" t="s">
        <v>827</v>
      </c>
      <c r="B172" s="151" t="s">
        <v>828</v>
      </c>
      <c r="D172" s="151" t="s">
        <v>829</v>
      </c>
    </row>
    <row r="173" spans="1:4">
      <c r="A173" s="151" t="s">
        <v>830</v>
      </c>
      <c r="B173" s="151" t="s">
        <v>831</v>
      </c>
      <c r="D173" s="151" t="s">
        <v>832</v>
      </c>
    </row>
    <row r="174" spans="1:4">
      <c r="A174" s="151" t="s">
        <v>833</v>
      </c>
      <c r="B174" s="151" t="s">
        <v>834</v>
      </c>
      <c r="D174" s="151" t="s">
        <v>835</v>
      </c>
    </row>
    <row r="175" spans="1:4">
      <c r="A175" s="151" t="s">
        <v>836</v>
      </c>
      <c r="B175" s="151" t="s">
        <v>837</v>
      </c>
      <c r="D175" s="151" t="s">
        <v>838</v>
      </c>
    </row>
    <row r="176" spans="1:4">
      <c r="A176" s="151" t="s">
        <v>839</v>
      </c>
      <c r="B176" s="151" t="s">
        <v>840</v>
      </c>
      <c r="D176" s="151" t="s">
        <v>841</v>
      </c>
    </row>
    <row r="177" spans="1:4">
      <c r="A177" s="151" t="s">
        <v>842</v>
      </c>
      <c r="B177" s="151" t="s">
        <v>843</v>
      </c>
      <c r="D177" s="151" t="s">
        <v>844</v>
      </c>
    </row>
    <row r="178" spans="1:4">
      <c r="A178" s="151" t="s">
        <v>845</v>
      </c>
      <c r="B178" s="151" t="s">
        <v>846</v>
      </c>
      <c r="D178" s="151" t="s">
        <v>847</v>
      </c>
    </row>
    <row r="179" spans="1:4">
      <c r="A179" s="151" t="s">
        <v>848</v>
      </c>
      <c r="B179" s="151" t="s">
        <v>849</v>
      </c>
      <c r="D179" s="151" t="s">
        <v>850</v>
      </c>
    </row>
    <row r="180" spans="1:4">
      <c r="A180" s="151" t="s">
        <v>851</v>
      </c>
      <c r="B180" s="151" t="s">
        <v>852</v>
      </c>
      <c r="D180" s="151" t="s">
        <v>853</v>
      </c>
    </row>
    <row r="181" spans="1:4">
      <c r="A181" s="151" t="s">
        <v>854</v>
      </c>
      <c r="B181" s="151" t="s">
        <v>855</v>
      </c>
      <c r="D181" s="151" t="s">
        <v>856</v>
      </c>
    </row>
    <row r="182" spans="1:4">
      <c r="A182" s="151" t="s">
        <v>857</v>
      </c>
      <c r="B182" s="151" t="s">
        <v>858</v>
      </c>
      <c r="D182" s="151" t="s">
        <v>859</v>
      </c>
    </row>
    <row r="183" spans="1:4">
      <c r="A183" s="151" t="s">
        <v>860</v>
      </c>
      <c r="B183" s="151" t="s">
        <v>861</v>
      </c>
      <c r="D183" s="151" t="s">
        <v>862</v>
      </c>
    </row>
    <row r="184" spans="1:4">
      <c r="A184" s="151" t="s">
        <v>863</v>
      </c>
      <c r="B184" s="151" t="s">
        <v>864</v>
      </c>
      <c r="D184" s="151" t="s">
        <v>865</v>
      </c>
    </row>
    <row r="185" spans="1:4">
      <c r="A185" s="151" t="s">
        <v>866</v>
      </c>
      <c r="B185" s="151" t="s">
        <v>867</v>
      </c>
      <c r="D185" s="151" t="s">
        <v>868</v>
      </c>
    </row>
    <row r="186" spans="1:4">
      <c r="A186" s="151" t="s">
        <v>869</v>
      </c>
      <c r="B186" s="151" t="s">
        <v>870</v>
      </c>
      <c r="D186" s="151" t="s">
        <v>871</v>
      </c>
    </row>
    <row r="187" spans="1:4">
      <c r="A187" s="151" t="s">
        <v>872</v>
      </c>
      <c r="B187" s="151" t="s">
        <v>873</v>
      </c>
      <c r="D187" s="151" t="s">
        <v>874</v>
      </c>
    </row>
    <row r="188" spans="1:4">
      <c r="A188" s="151" t="s">
        <v>875</v>
      </c>
      <c r="B188" s="151" t="s">
        <v>876</v>
      </c>
      <c r="D188" s="151" t="s">
        <v>877</v>
      </c>
    </row>
    <row r="189" spans="1:4">
      <c r="A189" s="151" t="s">
        <v>878</v>
      </c>
      <c r="B189" s="151" t="s">
        <v>879</v>
      </c>
      <c r="D189" s="151" t="s">
        <v>880</v>
      </c>
    </row>
    <row r="190" spans="1:4">
      <c r="A190" s="151" t="s">
        <v>881</v>
      </c>
      <c r="B190" s="151" t="s">
        <v>882</v>
      </c>
      <c r="D190" s="151" t="s">
        <v>883</v>
      </c>
    </row>
    <row r="191" spans="1:4">
      <c r="A191" s="151" t="s">
        <v>884</v>
      </c>
      <c r="B191" s="151" t="s">
        <v>885</v>
      </c>
      <c r="D191" s="151" t="s">
        <v>886</v>
      </c>
    </row>
    <row r="192" spans="1:4">
      <c r="A192" s="151" t="s">
        <v>887</v>
      </c>
      <c r="B192" s="151" t="s">
        <v>888</v>
      </c>
      <c r="D192" s="151" t="s">
        <v>889</v>
      </c>
    </row>
    <row r="193" spans="1:4">
      <c r="A193" s="151" t="s">
        <v>890</v>
      </c>
      <c r="B193" s="151" t="s">
        <v>891</v>
      </c>
      <c r="D193" s="151" t="s">
        <v>892</v>
      </c>
    </row>
    <row r="194" spans="1:4">
      <c r="A194" s="151" t="s">
        <v>893</v>
      </c>
      <c r="B194" s="151" t="s">
        <v>894</v>
      </c>
      <c r="D194" s="151" t="s">
        <v>895</v>
      </c>
    </row>
    <row r="195" spans="1:4">
      <c r="A195" s="151" t="s">
        <v>896</v>
      </c>
      <c r="B195" s="151" t="s">
        <v>897</v>
      </c>
      <c r="D195" s="151" t="s">
        <v>898</v>
      </c>
    </row>
    <row r="196" spans="1:4">
      <c r="A196" s="151" t="s">
        <v>899</v>
      </c>
      <c r="B196" s="151" t="s">
        <v>900</v>
      </c>
      <c r="D196" s="151" t="s">
        <v>901</v>
      </c>
    </row>
    <row r="197" spans="1:4">
      <c r="A197" s="151" t="s">
        <v>902</v>
      </c>
      <c r="B197" s="151" t="s">
        <v>903</v>
      </c>
      <c r="D197" s="151" t="s">
        <v>904</v>
      </c>
    </row>
    <row r="198" spans="1:4">
      <c r="A198" s="151" t="s">
        <v>905</v>
      </c>
      <c r="B198" s="151" t="s">
        <v>906</v>
      </c>
      <c r="D198" s="151" t="s">
        <v>907</v>
      </c>
    </row>
    <row r="199" spans="1:4">
      <c r="A199" s="151" t="s">
        <v>908</v>
      </c>
      <c r="B199" s="151" t="s">
        <v>909</v>
      </c>
      <c r="D199" s="151" t="s">
        <v>910</v>
      </c>
    </row>
    <row r="200" spans="1:4">
      <c r="A200" s="151" t="s">
        <v>911</v>
      </c>
      <c r="B200" s="151" t="s">
        <v>912</v>
      </c>
      <c r="D200" s="151" t="s">
        <v>913</v>
      </c>
    </row>
    <row r="201" spans="1:4">
      <c r="A201" s="151" t="s">
        <v>914</v>
      </c>
      <c r="B201" s="151" t="s">
        <v>915</v>
      </c>
      <c r="D201" s="151" t="s">
        <v>916</v>
      </c>
    </row>
    <row r="202" spans="1:4">
      <c r="A202" s="151" t="s">
        <v>917</v>
      </c>
      <c r="B202" s="151" t="s">
        <v>918</v>
      </c>
      <c r="D202" s="151" t="s">
        <v>919</v>
      </c>
    </row>
    <row r="203" spans="1:4">
      <c r="A203" s="151" t="s">
        <v>920</v>
      </c>
      <c r="B203" s="151" t="s">
        <v>921</v>
      </c>
      <c r="D203" s="151" t="s">
        <v>922</v>
      </c>
    </row>
    <row r="204" spans="1:4">
      <c r="A204" s="151" t="s">
        <v>923</v>
      </c>
      <c r="B204" s="151" t="s">
        <v>924</v>
      </c>
      <c r="D204" s="151" t="s">
        <v>925</v>
      </c>
    </row>
    <row r="205" spans="1:4">
      <c r="A205" s="151" t="s">
        <v>926</v>
      </c>
      <c r="B205" s="151" t="s">
        <v>927</v>
      </c>
      <c r="D205" s="151" t="s">
        <v>928</v>
      </c>
    </row>
    <row r="206" spans="1:4">
      <c r="A206" s="151" t="s">
        <v>929</v>
      </c>
      <c r="B206" s="151" t="s">
        <v>930</v>
      </c>
      <c r="D206" s="151" t="s">
        <v>931</v>
      </c>
    </row>
    <row r="207" spans="1:4">
      <c r="A207" s="151" t="s">
        <v>932</v>
      </c>
      <c r="B207" s="151" t="s">
        <v>933</v>
      </c>
      <c r="D207" s="151" t="s">
        <v>934</v>
      </c>
    </row>
    <row r="208" spans="1:4">
      <c r="A208" s="151" t="s">
        <v>935</v>
      </c>
      <c r="B208" s="151" t="s">
        <v>936</v>
      </c>
      <c r="D208" s="151" t="s">
        <v>937</v>
      </c>
    </row>
    <row r="209" spans="1:4">
      <c r="A209" s="151" t="s">
        <v>938</v>
      </c>
      <c r="B209" s="151" t="s">
        <v>939</v>
      </c>
      <c r="D209" s="151" t="s">
        <v>940</v>
      </c>
    </row>
    <row r="210" spans="1:4">
      <c r="A210" s="151" t="s">
        <v>941</v>
      </c>
      <c r="B210" s="151" t="s">
        <v>942</v>
      </c>
      <c r="D210" s="151" t="s">
        <v>943</v>
      </c>
    </row>
    <row r="211" spans="1:4">
      <c r="A211" s="151" t="s">
        <v>944</v>
      </c>
      <c r="B211" s="151" t="s">
        <v>945</v>
      </c>
      <c r="D211" s="151" t="s">
        <v>946</v>
      </c>
    </row>
    <row r="212" spans="1:4">
      <c r="A212" s="151" t="s">
        <v>947</v>
      </c>
      <c r="B212" s="151" t="s">
        <v>948</v>
      </c>
      <c r="D212" s="151" t="s">
        <v>949</v>
      </c>
    </row>
    <row r="213" spans="1:4">
      <c r="A213" s="151" t="s">
        <v>950</v>
      </c>
      <c r="B213" s="151" t="s">
        <v>951</v>
      </c>
      <c r="D213" s="151" t="s">
        <v>952</v>
      </c>
    </row>
    <row r="214" spans="1:4">
      <c r="A214" s="151" t="s">
        <v>953</v>
      </c>
      <c r="B214" s="151" t="s">
        <v>954</v>
      </c>
      <c r="D214" s="151" t="s">
        <v>955</v>
      </c>
    </row>
    <row r="215" spans="1:4">
      <c r="A215" s="151" t="s">
        <v>956</v>
      </c>
      <c r="B215" s="151" t="s">
        <v>957</v>
      </c>
      <c r="D215" s="151" t="s">
        <v>958</v>
      </c>
    </row>
    <row r="216" spans="1:4">
      <c r="A216" s="151" t="s">
        <v>959</v>
      </c>
      <c r="B216" s="151" t="s">
        <v>960</v>
      </c>
      <c r="D216" s="151" t="s">
        <v>961</v>
      </c>
    </row>
    <row r="217" spans="1:4">
      <c r="A217" s="151" t="s">
        <v>962</v>
      </c>
      <c r="B217" s="151" t="s">
        <v>963</v>
      </c>
      <c r="D217" s="151" t="s">
        <v>964</v>
      </c>
    </row>
    <row r="218" spans="1:4">
      <c r="A218" s="151" t="s">
        <v>965</v>
      </c>
      <c r="B218" s="151" t="s">
        <v>966</v>
      </c>
      <c r="D218" s="151" t="s">
        <v>967</v>
      </c>
    </row>
    <row r="219" spans="1:4">
      <c r="A219" s="151" t="s">
        <v>968</v>
      </c>
      <c r="B219" s="151" t="s">
        <v>969</v>
      </c>
      <c r="D219" s="151" t="s">
        <v>970</v>
      </c>
    </row>
    <row r="220" spans="1:4">
      <c r="A220" s="151" t="s">
        <v>971</v>
      </c>
      <c r="B220" s="151" t="s">
        <v>972</v>
      </c>
      <c r="D220" s="151" t="s">
        <v>973</v>
      </c>
    </row>
    <row r="221" spans="1:4">
      <c r="A221" s="151" t="s">
        <v>974</v>
      </c>
      <c r="B221" s="151" t="s">
        <v>975</v>
      </c>
      <c r="D221" s="151" t="s">
        <v>976</v>
      </c>
    </row>
    <row r="222" spans="1:4">
      <c r="A222" s="151" t="s">
        <v>977</v>
      </c>
      <c r="B222" s="151" t="s">
        <v>978</v>
      </c>
      <c r="D222" s="151" t="s">
        <v>979</v>
      </c>
    </row>
    <row r="223" spans="1:4">
      <c r="A223" s="151" t="s">
        <v>980</v>
      </c>
      <c r="B223" s="151" t="s">
        <v>981</v>
      </c>
      <c r="D223" s="151" t="s">
        <v>982</v>
      </c>
    </row>
    <row r="224" spans="1:4">
      <c r="A224" s="151" t="s">
        <v>983</v>
      </c>
      <c r="B224" s="151" t="s">
        <v>984</v>
      </c>
      <c r="D224" s="151" t="s">
        <v>985</v>
      </c>
    </row>
    <row r="225" spans="1:4">
      <c r="A225" s="151" t="s">
        <v>986</v>
      </c>
      <c r="B225" s="151" t="s">
        <v>987</v>
      </c>
      <c r="D225" s="152" t="s">
        <v>243</v>
      </c>
    </row>
    <row r="226" spans="1:4">
      <c r="A226" s="151" t="s">
        <v>988</v>
      </c>
      <c r="B226" s="151" t="s">
        <v>989</v>
      </c>
      <c r="D226" t="s">
        <v>243</v>
      </c>
    </row>
    <row r="227" spans="1:4">
      <c r="A227" s="151" t="s">
        <v>990</v>
      </c>
      <c r="B227" s="151" t="s">
        <v>991</v>
      </c>
    </row>
    <row r="228" spans="1:4">
      <c r="A228" s="151" t="s">
        <v>992</v>
      </c>
      <c r="B228" s="151" t="s">
        <v>993</v>
      </c>
    </row>
    <row r="229" spans="1:4">
      <c r="A229" s="151" t="s">
        <v>994</v>
      </c>
      <c r="B229" s="151" t="s">
        <v>995</v>
      </c>
    </row>
    <row r="230" spans="1:4">
      <c r="A230" s="151" t="s">
        <v>996</v>
      </c>
      <c r="B230" s="151" t="s">
        <v>997</v>
      </c>
    </row>
    <row r="231" spans="1:4">
      <c r="A231" s="151" t="s">
        <v>998</v>
      </c>
      <c r="B231" s="151" t="s">
        <v>999</v>
      </c>
    </row>
    <row r="232" spans="1:4">
      <c r="A232" s="151" t="s">
        <v>1000</v>
      </c>
      <c r="B232" s="151" t="s">
        <v>1001</v>
      </c>
    </row>
    <row r="233" spans="1:4">
      <c r="A233" s="151" t="s">
        <v>1002</v>
      </c>
      <c r="B233" s="151" t="s">
        <v>1003</v>
      </c>
    </row>
    <row r="234" spans="1:4">
      <c r="A234" s="151" t="s">
        <v>1004</v>
      </c>
      <c r="B234" s="151" t="s">
        <v>1005</v>
      </c>
    </row>
    <row r="235" spans="1:4">
      <c r="A235" s="151" t="s">
        <v>1006</v>
      </c>
      <c r="B235" s="151" t="s">
        <v>1007</v>
      </c>
    </row>
    <row r="236" spans="1:4">
      <c r="A236" s="151" t="s">
        <v>1008</v>
      </c>
      <c r="B236" s="151" t="s">
        <v>1009</v>
      </c>
    </row>
    <row r="237" spans="1:4">
      <c r="A237" s="151" t="s">
        <v>1010</v>
      </c>
      <c r="B237" s="151" t="s">
        <v>1011</v>
      </c>
    </row>
    <row r="238" spans="1:4">
      <c r="A238" s="151" t="s">
        <v>1012</v>
      </c>
      <c r="B238" s="151" t="s">
        <v>1013</v>
      </c>
    </row>
    <row r="239" spans="1:4">
      <c r="A239" s="151" t="s">
        <v>1014</v>
      </c>
      <c r="B239" s="151" t="s">
        <v>1015</v>
      </c>
    </row>
    <row r="240" spans="1:4">
      <c r="A240" s="151" t="s">
        <v>1016</v>
      </c>
      <c r="B240" s="151" t="s">
        <v>1017</v>
      </c>
    </row>
    <row r="241" spans="1:2">
      <c r="A241" s="151" t="s">
        <v>1018</v>
      </c>
      <c r="B241" s="151" t="s">
        <v>1019</v>
      </c>
    </row>
    <row r="242" spans="1:2">
      <c r="A242" s="151" t="s">
        <v>1020</v>
      </c>
      <c r="B242" s="151" t="s">
        <v>1021</v>
      </c>
    </row>
    <row r="243" spans="1:2">
      <c r="A243" s="151" t="s">
        <v>1022</v>
      </c>
      <c r="B243" s="151" t="s">
        <v>1023</v>
      </c>
    </row>
    <row r="244" spans="1:2">
      <c r="A244" s="151" t="s">
        <v>1024</v>
      </c>
      <c r="B244" s="151" t="s">
        <v>1025</v>
      </c>
    </row>
    <row r="245" spans="1:2">
      <c r="A245" s="151" t="s">
        <v>1026</v>
      </c>
      <c r="B245" s="151" t="s">
        <v>1027</v>
      </c>
    </row>
    <row r="246" spans="1:2">
      <c r="A246" s="151" t="s">
        <v>1028</v>
      </c>
      <c r="B246" s="151" t="s">
        <v>1029</v>
      </c>
    </row>
    <row r="247" spans="1:2">
      <c r="A247" s="151" t="s">
        <v>1030</v>
      </c>
      <c r="B247" s="151" t="s">
        <v>1031</v>
      </c>
    </row>
    <row r="248" spans="1:2">
      <c r="A248" s="151" t="s">
        <v>1032</v>
      </c>
      <c r="B248" s="151" t="s">
        <v>1033</v>
      </c>
    </row>
    <row r="249" spans="1:2">
      <c r="A249" s="151" t="s">
        <v>1034</v>
      </c>
      <c r="B249" s="151" t="s">
        <v>1035</v>
      </c>
    </row>
    <row r="250" spans="1:2">
      <c r="A250" s="151" t="s">
        <v>1036</v>
      </c>
      <c r="B250" s="151" t="s">
        <v>1037</v>
      </c>
    </row>
    <row r="251" spans="1:2">
      <c r="A251" s="151" t="s">
        <v>1038</v>
      </c>
      <c r="B251" s="151" t="s">
        <v>1039</v>
      </c>
    </row>
    <row r="252" spans="1:2">
      <c r="A252" s="151" t="s">
        <v>1040</v>
      </c>
      <c r="B252" s="151" t="s">
        <v>1041</v>
      </c>
    </row>
    <row r="253" spans="1:2">
      <c r="A253" s="151" t="s">
        <v>1042</v>
      </c>
      <c r="B253" s="151" t="s">
        <v>1043</v>
      </c>
    </row>
    <row r="254" spans="1:2">
      <c r="A254" s="151" t="s">
        <v>1044</v>
      </c>
      <c r="B254" s="151" t="s">
        <v>1045</v>
      </c>
    </row>
    <row r="255" spans="1:2">
      <c r="A255" s="151" t="s">
        <v>1046</v>
      </c>
      <c r="B255" s="151" t="s">
        <v>1047</v>
      </c>
    </row>
    <row r="256" spans="1:2">
      <c r="A256" s="151" t="s">
        <v>1048</v>
      </c>
      <c r="B256" s="151" t="s">
        <v>1049</v>
      </c>
    </row>
    <row r="257" spans="1:2">
      <c r="A257" s="151" t="s">
        <v>1050</v>
      </c>
      <c r="B257" s="151" t="s">
        <v>1051</v>
      </c>
    </row>
    <row r="258" spans="1:2">
      <c r="A258" s="151" t="s">
        <v>1052</v>
      </c>
      <c r="B258" s="151" t="s">
        <v>1053</v>
      </c>
    </row>
    <row r="259" spans="1:2">
      <c r="A259" s="151" t="s">
        <v>1054</v>
      </c>
      <c r="B259" s="151" t="s">
        <v>1055</v>
      </c>
    </row>
    <row r="260" spans="1:2">
      <c r="A260" s="151" t="s">
        <v>1056</v>
      </c>
      <c r="B260" s="151" t="s">
        <v>1057</v>
      </c>
    </row>
    <row r="261" spans="1:2">
      <c r="A261" s="151" t="s">
        <v>1058</v>
      </c>
      <c r="B261" s="151" t="s">
        <v>1059</v>
      </c>
    </row>
    <row r="262" spans="1:2">
      <c r="A262" s="151" t="s">
        <v>1060</v>
      </c>
      <c r="B262" s="151" t="s">
        <v>1061</v>
      </c>
    </row>
    <row r="263" spans="1:2">
      <c r="A263" s="151" t="s">
        <v>1062</v>
      </c>
      <c r="B263" s="151" t="s">
        <v>1063</v>
      </c>
    </row>
    <row r="264" spans="1:2">
      <c r="A264" s="151" t="s">
        <v>1064</v>
      </c>
      <c r="B264" s="151" t="s">
        <v>1065</v>
      </c>
    </row>
    <row r="265" spans="1:2">
      <c r="A265" s="151" t="s">
        <v>1066</v>
      </c>
      <c r="B265" s="151" t="s">
        <v>1067</v>
      </c>
    </row>
    <row r="266" spans="1:2">
      <c r="A266" s="151" t="s">
        <v>1068</v>
      </c>
      <c r="B266" s="151" t="s">
        <v>1069</v>
      </c>
    </row>
    <row r="267" spans="1:2">
      <c r="A267" s="151" t="s">
        <v>1070</v>
      </c>
      <c r="B267" s="151" t="s">
        <v>1071</v>
      </c>
    </row>
    <row r="268" spans="1:2">
      <c r="A268" s="151" t="s">
        <v>1072</v>
      </c>
      <c r="B268" s="151" t="s">
        <v>1073</v>
      </c>
    </row>
    <row r="269" spans="1:2">
      <c r="A269" s="151" t="s">
        <v>1074</v>
      </c>
      <c r="B269" s="151" t="s">
        <v>1075</v>
      </c>
    </row>
    <row r="270" spans="1:2">
      <c r="A270" s="151" t="s">
        <v>1076</v>
      </c>
      <c r="B270" s="151" t="s">
        <v>1077</v>
      </c>
    </row>
    <row r="271" spans="1:2">
      <c r="A271" s="151" t="s">
        <v>1078</v>
      </c>
      <c r="B271" s="151" t="s">
        <v>1079</v>
      </c>
    </row>
    <row r="272" spans="1:2">
      <c r="A272" s="151" t="s">
        <v>1080</v>
      </c>
      <c r="B272" s="151" t="s">
        <v>1081</v>
      </c>
    </row>
    <row r="273" spans="1:2">
      <c r="A273" s="151" t="s">
        <v>1082</v>
      </c>
      <c r="B273" s="151" t="s">
        <v>1083</v>
      </c>
    </row>
    <row r="274" spans="1:2">
      <c r="A274" s="151" t="s">
        <v>1084</v>
      </c>
      <c r="B274" s="151" t="s">
        <v>1085</v>
      </c>
    </row>
    <row r="275" spans="1:2">
      <c r="A275" s="151" t="s">
        <v>1086</v>
      </c>
      <c r="B275" s="151" t="s">
        <v>1087</v>
      </c>
    </row>
    <row r="276" spans="1:2">
      <c r="A276" s="151" t="s">
        <v>1088</v>
      </c>
      <c r="B276" s="151" t="s">
        <v>1089</v>
      </c>
    </row>
    <row r="277" spans="1:2">
      <c r="A277" s="151" t="s">
        <v>1090</v>
      </c>
      <c r="B277" s="151" t="s">
        <v>1091</v>
      </c>
    </row>
    <row r="278" spans="1:2">
      <c r="A278" s="151" t="s">
        <v>1092</v>
      </c>
      <c r="B278" s="151" t="s">
        <v>1093</v>
      </c>
    </row>
    <row r="279" spans="1:2">
      <c r="A279" s="151" t="s">
        <v>1094</v>
      </c>
      <c r="B279" s="151" t="s">
        <v>1095</v>
      </c>
    </row>
    <row r="280" spans="1:2">
      <c r="A280" s="151" t="s">
        <v>1096</v>
      </c>
      <c r="B280" s="151" t="s">
        <v>279</v>
      </c>
    </row>
    <row r="281" spans="1:2">
      <c r="A281" s="151" t="s">
        <v>1097</v>
      </c>
      <c r="B281" s="151" t="s">
        <v>1098</v>
      </c>
    </row>
    <row r="282" spans="1:2">
      <c r="A282" s="151" t="s">
        <v>1099</v>
      </c>
      <c r="B282" s="151" t="s">
        <v>1100</v>
      </c>
    </row>
    <row r="283" spans="1:2">
      <c r="A283" s="151" t="s">
        <v>1101</v>
      </c>
      <c r="B283" s="151" t="s">
        <v>1102</v>
      </c>
    </row>
    <row r="284" spans="1:2">
      <c r="A284" s="151" t="s">
        <v>1103</v>
      </c>
      <c r="B284" s="151" t="s">
        <v>1104</v>
      </c>
    </row>
    <row r="285" spans="1:2">
      <c r="A285" s="151" t="s">
        <v>1105</v>
      </c>
      <c r="B285" s="151" t="s">
        <v>1106</v>
      </c>
    </row>
    <row r="286" spans="1:2">
      <c r="A286" s="151" t="s">
        <v>1107</v>
      </c>
      <c r="B286" s="151" t="s">
        <v>1108</v>
      </c>
    </row>
    <row r="287" spans="1:2">
      <c r="A287" s="151" t="s">
        <v>1109</v>
      </c>
      <c r="B287" s="151" t="s">
        <v>1110</v>
      </c>
    </row>
    <row r="288" spans="1:2">
      <c r="A288" s="151" t="s">
        <v>1111</v>
      </c>
      <c r="B288" s="151" t="s">
        <v>1112</v>
      </c>
    </row>
    <row r="289" spans="1:2">
      <c r="A289" s="151" t="s">
        <v>1113</v>
      </c>
      <c r="B289" s="151" t="s">
        <v>1114</v>
      </c>
    </row>
    <row r="290" spans="1:2">
      <c r="A290" s="151" t="s">
        <v>1115</v>
      </c>
      <c r="B290" s="151" t="s">
        <v>1116</v>
      </c>
    </row>
    <row r="291" spans="1:2">
      <c r="A291" s="151" t="s">
        <v>1117</v>
      </c>
      <c r="B291" s="151" t="s">
        <v>1118</v>
      </c>
    </row>
    <row r="292" spans="1:2">
      <c r="A292" s="151" t="s">
        <v>1119</v>
      </c>
      <c r="B292" s="151" t="s">
        <v>1120</v>
      </c>
    </row>
    <row r="293" spans="1:2">
      <c r="A293" s="151" t="s">
        <v>1121</v>
      </c>
      <c r="B293" s="151" t="s">
        <v>1122</v>
      </c>
    </row>
    <row r="294" spans="1:2">
      <c r="A294" s="151" t="s">
        <v>1123</v>
      </c>
      <c r="B294" s="151" t="s">
        <v>1124</v>
      </c>
    </row>
    <row r="295" spans="1:2">
      <c r="A295" s="151" t="s">
        <v>1125</v>
      </c>
      <c r="B295" s="151" t="s">
        <v>1126</v>
      </c>
    </row>
    <row r="296" spans="1:2">
      <c r="A296" s="151" t="s">
        <v>1127</v>
      </c>
      <c r="B296" s="151" t="s">
        <v>1128</v>
      </c>
    </row>
    <row r="297" spans="1:2">
      <c r="A297" s="151" t="s">
        <v>1129</v>
      </c>
      <c r="B297" s="151" t="s">
        <v>1130</v>
      </c>
    </row>
    <row r="298" spans="1:2">
      <c r="A298" s="151" t="s">
        <v>1131</v>
      </c>
      <c r="B298" s="151" t="s">
        <v>1132</v>
      </c>
    </row>
    <row r="299" spans="1:2">
      <c r="A299" s="151" t="s">
        <v>1133</v>
      </c>
      <c r="B299" s="151" t="s">
        <v>1134</v>
      </c>
    </row>
    <row r="300" spans="1:2">
      <c r="A300" s="151" t="s">
        <v>1135</v>
      </c>
      <c r="B300" s="151" t="s">
        <v>1136</v>
      </c>
    </row>
    <row r="301" spans="1:2">
      <c r="A301" s="151" t="s">
        <v>1137</v>
      </c>
      <c r="B301" s="151" t="s">
        <v>1138</v>
      </c>
    </row>
    <row r="302" spans="1:2">
      <c r="A302" s="151" t="s">
        <v>1139</v>
      </c>
      <c r="B302" s="151" t="s">
        <v>1140</v>
      </c>
    </row>
    <row r="303" spans="1:2">
      <c r="A303" s="151" t="s">
        <v>1141</v>
      </c>
      <c r="B303" s="151" t="s">
        <v>1142</v>
      </c>
    </row>
    <row r="304" spans="1:2">
      <c r="A304" s="151" t="s">
        <v>1143</v>
      </c>
      <c r="B304" s="151" t="s">
        <v>1144</v>
      </c>
    </row>
    <row r="305" spans="1:2">
      <c r="A305" s="151" t="s">
        <v>1145</v>
      </c>
      <c r="B305" s="151" t="s">
        <v>1146</v>
      </c>
    </row>
    <row r="306" spans="1:2">
      <c r="A306" s="151" t="s">
        <v>1147</v>
      </c>
      <c r="B306" s="151" t="s">
        <v>1148</v>
      </c>
    </row>
    <row r="307" spans="1:2">
      <c r="A307" s="151" t="s">
        <v>1149</v>
      </c>
      <c r="B307" s="151" t="s">
        <v>468</v>
      </c>
    </row>
    <row r="308" spans="1:2">
      <c r="A308" s="151" t="s">
        <v>1150</v>
      </c>
      <c r="B308" s="151" t="s">
        <v>1151</v>
      </c>
    </row>
    <row r="309" spans="1:2">
      <c r="A309" s="151" t="s">
        <v>1152</v>
      </c>
      <c r="B309" s="151" t="s">
        <v>1153</v>
      </c>
    </row>
    <row r="310" spans="1:2">
      <c r="A310" s="151" t="s">
        <v>1154</v>
      </c>
      <c r="B310" s="151" t="s">
        <v>1155</v>
      </c>
    </row>
    <row r="311" spans="1:2">
      <c r="A311" s="151" t="s">
        <v>1156</v>
      </c>
      <c r="B311" s="151" t="s">
        <v>1157</v>
      </c>
    </row>
    <row r="312" spans="1:2">
      <c r="A312" s="151" t="s">
        <v>1158</v>
      </c>
      <c r="B312" s="151" t="s">
        <v>1159</v>
      </c>
    </row>
    <row r="313" spans="1:2">
      <c r="A313" s="151" t="s">
        <v>1160</v>
      </c>
      <c r="B313" s="151" t="s">
        <v>1161</v>
      </c>
    </row>
    <row r="314" spans="1:2">
      <c r="A314" s="151" t="s">
        <v>1162</v>
      </c>
      <c r="B314" s="151" t="s">
        <v>1163</v>
      </c>
    </row>
    <row r="315" spans="1:2">
      <c r="A315" s="151" t="s">
        <v>1164</v>
      </c>
      <c r="B315" s="151" t="s">
        <v>1165</v>
      </c>
    </row>
    <row r="316" spans="1:2">
      <c r="A316" s="151" t="s">
        <v>1166</v>
      </c>
      <c r="B316" s="151" t="s">
        <v>1167</v>
      </c>
    </row>
    <row r="317" spans="1:2">
      <c r="A317" s="151" t="s">
        <v>1168</v>
      </c>
      <c r="B317" s="151" t="s">
        <v>1169</v>
      </c>
    </row>
    <row r="318" spans="1:2">
      <c r="A318" s="151" t="s">
        <v>1170</v>
      </c>
      <c r="B318" s="151" t="s">
        <v>1171</v>
      </c>
    </row>
    <row r="319" spans="1:2">
      <c r="A319" s="151" t="s">
        <v>1172</v>
      </c>
      <c r="B319" s="151" t="s">
        <v>1173</v>
      </c>
    </row>
    <row r="320" spans="1:2">
      <c r="A320" s="151" t="s">
        <v>1174</v>
      </c>
      <c r="B320" s="151" t="s">
        <v>1175</v>
      </c>
    </row>
    <row r="321" spans="1:2">
      <c r="A321" s="151" t="s">
        <v>1176</v>
      </c>
      <c r="B321" s="151" t="s">
        <v>1177</v>
      </c>
    </row>
    <row r="322" spans="1:2">
      <c r="A322" s="151" t="s">
        <v>1178</v>
      </c>
      <c r="B322" s="151" t="s">
        <v>1179</v>
      </c>
    </row>
    <row r="323" spans="1:2">
      <c r="A323" s="151" t="s">
        <v>1180</v>
      </c>
      <c r="B323" s="151" t="s">
        <v>1181</v>
      </c>
    </row>
    <row r="324" spans="1:2">
      <c r="A324" s="151" t="s">
        <v>1182</v>
      </c>
      <c r="B324" s="151" t="s">
        <v>1183</v>
      </c>
    </row>
    <row r="325" spans="1:2">
      <c r="A325" s="151" t="s">
        <v>1184</v>
      </c>
      <c r="B325" s="151" t="s">
        <v>1185</v>
      </c>
    </row>
    <row r="326" spans="1:2">
      <c r="A326" s="151" t="s">
        <v>1186</v>
      </c>
      <c r="B326" s="151" t="s">
        <v>1187</v>
      </c>
    </row>
    <row r="327" spans="1:2">
      <c r="A327" s="151" t="s">
        <v>1188</v>
      </c>
      <c r="B327" s="151" t="s">
        <v>1189</v>
      </c>
    </row>
    <row r="328" spans="1:2">
      <c r="A328" s="151" t="s">
        <v>1190</v>
      </c>
      <c r="B328" s="151" t="s">
        <v>1191</v>
      </c>
    </row>
    <row r="329" spans="1:2">
      <c r="A329" s="151" t="s">
        <v>1192</v>
      </c>
      <c r="B329" s="151" t="s">
        <v>1193</v>
      </c>
    </row>
    <row r="330" spans="1:2">
      <c r="A330" s="151" t="s">
        <v>1194</v>
      </c>
      <c r="B330" s="151" t="s">
        <v>1195</v>
      </c>
    </row>
    <row r="331" spans="1:2">
      <c r="A331" s="151" t="s">
        <v>1196</v>
      </c>
      <c r="B331" s="151" t="s">
        <v>1197</v>
      </c>
    </row>
    <row r="332" spans="1:2">
      <c r="A332" s="151" t="s">
        <v>1198</v>
      </c>
      <c r="B332" s="151" t="s">
        <v>1199</v>
      </c>
    </row>
    <row r="333" spans="1:2">
      <c r="A333" s="151" t="s">
        <v>1200</v>
      </c>
      <c r="B333" s="151" t="s">
        <v>1201</v>
      </c>
    </row>
    <row r="334" spans="1:2">
      <c r="A334" s="151" t="s">
        <v>1202</v>
      </c>
      <c r="B334" s="151" t="s">
        <v>1203</v>
      </c>
    </row>
    <row r="335" spans="1:2">
      <c r="A335" s="151" t="s">
        <v>1204</v>
      </c>
      <c r="B335" s="151" t="s">
        <v>1205</v>
      </c>
    </row>
    <row r="336" spans="1:2">
      <c r="A336" s="151" t="s">
        <v>1206</v>
      </c>
      <c r="B336" s="151" t="s">
        <v>1207</v>
      </c>
    </row>
    <row r="337" spans="1:2">
      <c r="A337" s="151" t="s">
        <v>1208</v>
      </c>
      <c r="B337" s="151" t="s">
        <v>1209</v>
      </c>
    </row>
    <row r="338" spans="1:2">
      <c r="A338" s="151" t="s">
        <v>1210</v>
      </c>
      <c r="B338" s="151" t="s">
        <v>1211</v>
      </c>
    </row>
    <row r="339" spans="1:2">
      <c r="A339" s="151" t="s">
        <v>1212</v>
      </c>
      <c r="B339" s="151" t="s">
        <v>1213</v>
      </c>
    </row>
    <row r="340" spans="1:2">
      <c r="A340" s="151" t="s">
        <v>1214</v>
      </c>
      <c r="B340" s="151" t="s">
        <v>1215</v>
      </c>
    </row>
    <row r="341" spans="1:2">
      <c r="A341" s="151" t="s">
        <v>1216</v>
      </c>
      <c r="B341" s="151" t="s">
        <v>1217</v>
      </c>
    </row>
    <row r="342" spans="1:2">
      <c r="A342" s="151" t="s">
        <v>1218</v>
      </c>
      <c r="B342" s="151" t="s">
        <v>1219</v>
      </c>
    </row>
    <row r="343" spans="1:2">
      <c r="A343" s="151" t="s">
        <v>1220</v>
      </c>
      <c r="B343" s="151" t="s">
        <v>1221</v>
      </c>
    </row>
    <row r="344" spans="1:2">
      <c r="A344" s="151" t="s">
        <v>1222</v>
      </c>
      <c r="B344" s="151" t="s">
        <v>1223</v>
      </c>
    </row>
    <row r="345" spans="1:2">
      <c r="A345" s="151" t="s">
        <v>1224</v>
      </c>
      <c r="B345" s="151" t="s">
        <v>1225</v>
      </c>
    </row>
    <row r="346" spans="1:2">
      <c r="A346" s="151" t="s">
        <v>1226</v>
      </c>
      <c r="B346" s="151" t="s">
        <v>1227</v>
      </c>
    </row>
    <row r="347" spans="1:2">
      <c r="A347" s="151" t="s">
        <v>1228</v>
      </c>
      <c r="B347" s="151" t="s">
        <v>1229</v>
      </c>
    </row>
    <row r="348" spans="1:2">
      <c r="A348" s="151" t="s">
        <v>1230</v>
      </c>
      <c r="B348" s="151" t="s">
        <v>1231</v>
      </c>
    </row>
    <row r="349" spans="1:2">
      <c r="A349" s="151" t="s">
        <v>1232</v>
      </c>
      <c r="B349" s="151" t="s">
        <v>1233</v>
      </c>
    </row>
    <row r="350" spans="1:2">
      <c r="A350" s="151" t="s">
        <v>1234</v>
      </c>
      <c r="B350" s="151" t="s">
        <v>1235</v>
      </c>
    </row>
    <row r="351" spans="1:2">
      <c r="A351" s="151" t="s">
        <v>1236</v>
      </c>
      <c r="B351" s="151" t="s">
        <v>1237</v>
      </c>
    </row>
    <row r="352" spans="1:2">
      <c r="A352" s="151" t="s">
        <v>1238</v>
      </c>
      <c r="B352" s="151" t="s">
        <v>1239</v>
      </c>
    </row>
    <row r="353" spans="1:2">
      <c r="A353" s="151" t="s">
        <v>1240</v>
      </c>
      <c r="B353" s="151" t="s">
        <v>1241</v>
      </c>
    </row>
    <row r="354" spans="1:2">
      <c r="A354" s="151" t="s">
        <v>1242</v>
      </c>
      <c r="B354" s="151" t="s">
        <v>1243</v>
      </c>
    </row>
    <row r="355" spans="1:2">
      <c r="A355" s="151" t="s">
        <v>1244</v>
      </c>
      <c r="B355" s="151" t="s">
        <v>1245</v>
      </c>
    </row>
    <row r="356" spans="1:2">
      <c r="A356" s="151" t="s">
        <v>1246</v>
      </c>
      <c r="B356" s="151" t="s">
        <v>1247</v>
      </c>
    </row>
    <row r="357" spans="1:2">
      <c r="A357" s="151" t="s">
        <v>1248</v>
      </c>
      <c r="B357" s="151" t="s">
        <v>1249</v>
      </c>
    </row>
    <row r="358" spans="1:2">
      <c r="A358" s="151" t="s">
        <v>1250</v>
      </c>
      <c r="B358" s="151" t="s">
        <v>1251</v>
      </c>
    </row>
    <row r="359" spans="1:2">
      <c r="A359" s="151" t="s">
        <v>1252</v>
      </c>
      <c r="B359" s="151" t="s">
        <v>1253</v>
      </c>
    </row>
    <row r="360" spans="1:2">
      <c r="A360" s="151" t="s">
        <v>1254</v>
      </c>
      <c r="B360" s="151" t="s">
        <v>1255</v>
      </c>
    </row>
    <row r="361" spans="1:2">
      <c r="A361" s="151" t="s">
        <v>1256</v>
      </c>
      <c r="B361" s="151" t="s">
        <v>1257</v>
      </c>
    </row>
    <row r="362" spans="1:2">
      <c r="A362" s="151" t="s">
        <v>1258</v>
      </c>
      <c r="B362" s="151" t="s">
        <v>1259</v>
      </c>
    </row>
    <row r="363" spans="1:2">
      <c r="A363" s="151" t="s">
        <v>1260</v>
      </c>
      <c r="B363" s="151" t="s">
        <v>1261</v>
      </c>
    </row>
    <row r="364" spans="1:2">
      <c r="A364" s="151" t="s">
        <v>1262</v>
      </c>
      <c r="B364" s="151" t="s">
        <v>1263</v>
      </c>
    </row>
    <row r="365" spans="1:2">
      <c r="A365" s="151" t="s">
        <v>1264</v>
      </c>
      <c r="B365" s="151" t="s">
        <v>1265</v>
      </c>
    </row>
    <row r="366" spans="1:2">
      <c r="A366" s="151" t="s">
        <v>1266</v>
      </c>
      <c r="B366" s="151" t="s">
        <v>1267</v>
      </c>
    </row>
    <row r="367" spans="1:2">
      <c r="A367" s="151" t="s">
        <v>1268</v>
      </c>
      <c r="B367" s="151" t="s">
        <v>1269</v>
      </c>
    </row>
    <row r="368" spans="1:2">
      <c r="A368" s="151" t="s">
        <v>1270</v>
      </c>
      <c r="B368" s="151" t="s">
        <v>1271</v>
      </c>
    </row>
    <row r="369" spans="1:2">
      <c r="A369" s="151" t="s">
        <v>1272</v>
      </c>
      <c r="B369" s="151" t="s">
        <v>1273</v>
      </c>
    </row>
    <row r="370" spans="1:2">
      <c r="A370" s="151" t="s">
        <v>1274</v>
      </c>
      <c r="B370" s="151" t="s">
        <v>1275</v>
      </c>
    </row>
    <row r="371" spans="1:2">
      <c r="A371" s="151" t="s">
        <v>1276</v>
      </c>
      <c r="B371" s="151" t="s">
        <v>1277</v>
      </c>
    </row>
    <row r="372" spans="1:2">
      <c r="A372" s="151" t="s">
        <v>1278</v>
      </c>
      <c r="B372" s="151" t="s">
        <v>1279</v>
      </c>
    </row>
    <row r="373" spans="1:2">
      <c r="A373" s="151" t="s">
        <v>1280</v>
      </c>
      <c r="B373" s="151" t="s">
        <v>1281</v>
      </c>
    </row>
    <row r="374" spans="1:2">
      <c r="A374" s="151" t="s">
        <v>1282</v>
      </c>
      <c r="B374" s="151" t="s">
        <v>1283</v>
      </c>
    </row>
    <row r="375" spans="1:2">
      <c r="A375" s="151" t="s">
        <v>1284</v>
      </c>
      <c r="B375" s="151" t="s">
        <v>1285</v>
      </c>
    </row>
    <row r="376" spans="1:2">
      <c r="A376" s="151" t="s">
        <v>1286</v>
      </c>
      <c r="B376" s="151" t="s">
        <v>1287</v>
      </c>
    </row>
    <row r="377" spans="1:2">
      <c r="A377" s="151" t="s">
        <v>1288</v>
      </c>
      <c r="B377" s="151" t="s">
        <v>1289</v>
      </c>
    </row>
    <row r="378" spans="1:2">
      <c r="A378" s="151" t="s">
        <v>1290</v>
      </c>
      <c r="B378" s="151" t="s">
        <v>1291</v>
      </c>
    </row>
    <row r="379" spans="1:2">
      <c r="A379" s="151" t="s">
        <v>1292</v>
      </c>
      <c r="B379" s="151" t="s">
        <v>1293</v>
      </c>
    </row>
    <row r="380" spans="1:2">
      <c r="A380" s="151" t="s">
        <v>1294</v>
      </c>
      <c r="B380" s="151" t="s">
        <v>1295</v>
      </c>
    </row>
    <row r="381" spans="1:2">
      <c r="A381" s="151" t="s">
        <v>1296</v>
      </c>
      <c r="B381" s="151" t="s">
        <v>1297</v>
      </c>
    </row>
    <row r="382" spans="1:2">
      <c r="A382" s="151" t="s">
        <v>1298</v>
      </c>
      <c r="B382" s="151" t="s">
        <v>1299</v>
      </c>
    </row>
    <row r="383" spans="1:2">
      <c r="A383" s="151" t="s">
        <v>1300</v>
      </c>
      <c r="B383" s="151" t="s">
        <v>1301</v>
      </c>
    </row>
    <row r="384" spans="1:2">
      <c r="A384" s="151" t="s">
        <v>1302</v>
      </c>
      <c r="B384" s="151" t="s">
        <v>1303</v>
      </c>
    </row>
    <row r="385" spans="1:2">
      <c r="A385" s="151" t="s">
        <v>1304</v>
      </c>
      <c r="B385" s="151" t="s">
        <v>1305</v>
      </c>
    </row>
    <row r="386" spans="1:2">
      <c r="A386" s="151" t="s">
        <v>1306</v>
      </c>
      <c r="B386" s="151" t="s">
        <v>1307</v>
      </c>
    </row>
    <row r="387" spans="1:2">
      <c r="A387" s="151" t="s">
        <v>1308</v>
      </c>
      <c r="B387" s="151" t="s">
        <v>1309</v>
      </c>
    </row>
    <row r="388" spans="1:2">
      <c r="A388" s="151" t="s">
        <v>1310</v>
      </c>
      <c r="B388" s="151" t="s">
        <v>1311</v>
      </c>
    </row>
    <row r="389" spans="1:2">
      <c r="A389" s="151" t="s">
        <v>1312</v>
      </c>
      <c r="B389" s="151" t="s">
        <v>1313</v>
      </c>
    </row>
    <row r="390" spans="1:2">
      <c r="A390" s="151" t="s">
        <v>1314</v>
      </c>
      <c r="B390" s="151" t="s">
        <v>1315</v>
      </c>
    </row>
    <row r="391" spans="1:2">
      <c r="A391" s="151" t="s">
        <v>1316</v>
      </c>
      <c r="B391" s="151" t="s">
        <v>1317</v>
      </c>
    </row>
    <row r="392" spans="1:2">
      <c r="A392" s="151" t="s">
        <v>1318</v>
      </c>
      <c r="B392" s="151" t="s">
        <v>1319</v>
      </c>
    </row>
    <row r="393" spans="1:2">
      <c r="A393" s="151" t="s">
        <v>1320</v>
      </c>
      <c r="B393" s="151" t="s">
        <v>1321</v>
      </c>
    </row>
    <row r="394" spans="1:2">
      <c r="A394" s="151" t="s">
        <v>1322</v>
      </c>
      <c r="B394" s="151" t="s">
        <v>1323</v>
      </c>
    </row>
    <row r="395" spans="1:2">
      <c r="A395" s="151" t="s">
        <v>1324</v>
      </c>
      <c r="B395" s="151" t="s">
        <v>1325</v>
      </c>
    </row>
    <row r="396" spans="1:2">
      <c r="A396" s="151" t="s">
        <v>1326</v>
      </c>
      <c r="B396" s="151" t="s">
        <v>1327</v>
      </c>
    </row>
    <row r="397" spans="1:2">
      <c r="A397" s="151" t="s">
        <v>1328</v>
      </c>
      <c r="B397" s="151" t="s">
        <v>1329</v>
      </c>
    </row>
    <row r="398" spans="1:2">
      <c r="A398" s="151" t="s">
        <v>1330</v>
      </c>
      <c r="B398" s="151" t="s">
        <v>1331</v>
      </c>
    </row>
    <row r="399" spans="1:2">
      <c r="A399" s="151" t="s">
        <v>1332</v>
      </c>
      <c r="B399" s="151" t="s">
        <v>1333</v>
      </c>
    </row>
    <row r="400" spans="1:2">
      <c r="A400" s="151" t="s">
        <v>1334</v>
      </c>
      <c r="B400" s="151" t="s">
        <v>1335</v>
      </c>
    </row>
    <row r="401" spans="1:2">
      <c r="A401" s="151" t="s">
        <v>1336</v>
      </c>
      <c r="B401" s="151" t="s">
        <v>1337</v>
      </c>
    </row>
    <row r="402" spans="1:2">
      <c r="A402" s="151" t="s">
        <v>1338</v>
      </c>
      <c r="B402" s="151" t="s">
        <v>1339</v>
      </c>
    </row>
    <row r="403" spans="1:2">
      <c r="A403" s="151" t="s">
        <v>1340</v>
      </c>
      <c r="B403" s="151" t="s">
        <v>1341</v>
      </c>
    </row>
    <row r="404" spans="1:2">
      <c r="A404" s="151" t="s">
        <v>1342</v>
      </c>
      <c r="B404" s="151" t="s">
        <v>1343</v>
      </c>
    </row>
    <row r="405" spans="1:2">
      <c r="A405" s="151" t="s">
        <v>1344</v>
      </c>
      <c r="B405" s="151" t="s">
        <v>1345</v>
      </c>
    </row>
    <row r="406" spans="1:2">
      <c r="A406" s="151" t="s">
        <v>1346</v>
      </c>
      <c r="B406" s="151" t="s">
        <v>1347</v>
      </c>
    </row>
    <row r="407" spans="1:2">
      <c r="A407" s="151" t="s">
        <v>1348</v>
      </c>
      <c r="B407" s="151" t="s">
        <v>1349</v>
      </c>
    </row>
    <row r="408" spans="1:2">
      <c r="A408" s="151" t="s">
        <v>1350</v>
      </c>
      <c r="B408" s="151" t="s">
        <v>1351</v>
      </c>
    </row>
    <row r="409" spans="1:2">
      <c r="A409" s="151" t="s">
        <v>1352</v>
      </c>
      <c r="B409" s="151" t="s">
        <v>1353</v>
      </c>
    </row>
    <row r="410" spans="1:2">
      <c r="A410" s="151" t="s">
        <v>1354</v>
      </c>
      <c r="B410" s="151" t="s">
        <v>1355</v>
      </c>
    </row>
    <row r="411" spans="1:2">
      <c r="A411" s="151" t="s">
        <v>1356</v>
      </c>
      <c r="B411" s="151" t="s">
        <v>1357</v>
      </c>
    </row>
    <row r="412" spans="1:2">
      <c r="A412" s="151" t="s">
        <v>1358</v>
      </c>
      <c r="B412" s="151" t="s">
        <v>1359</v>
      </c>
    </row>
    <row r="413" spans="1:2">
      <c r="A413" s="151" t="s">
        <v>1360</v>
      </c>
      <c r="B413" s="151" t="s">
        <v>1361</v>
      </c>
    </row>
    <row r="414" spans="1:2">
      <c r="A414" s="151" t="s">
        <v>1362</v>
      </c>
      <c r="B414" s="151" t="s">
        <v>1363</v>
      </c>
    </row>
    <row r="415" spans="1:2">
      <c r="A415" s="151" t="s">
        <v>1364</v>
      </c>
      <c r="B415" s="151" t="s">
        <v>1365</v>
      </c>
    </row>
    <row r="416" spans="1:2">
      <c r="A416" s="151" t="s">
        <v>1366</v>
      </c>
      <c r="B416" s="151" t="s">
        <v>1367</v>
      </c>
    </row>
    <row r="417" spans="1:2">
      <c r="A417" s="151" t="s">
        <v>1368</v>
      </c>
      <c r="B417" s="151" t="s">
        <v>1369</v>
      </c>
    </row>
    <row r="418" spans="1:2">
      <c r="A418" s="151" t="s">
        <v>1370</v>
      </c>
      <c r="B418" s="151" t="s">
        <v>1371</v>
      </c>
    </row>
    <row r="419" spans="1:2">
      <c r="A419" s="151" t="s">
        <v>1372</v>
      </c>
      <c r="B419" s="151" t="s">
        <v>1373</v>
      </c>
    </row>
    <row r="420" spans="1:2">
      <c r="A420" s="151" t="s">
        <v>1374</v>
      </c>
      <c r="B420" s="151" t="s">
        <v>1375</v>
      </c>
    </row>
    <row r="421" spans="1:2">
      <c r="A421" s="151" t="s">
        <v>1376</v>
      </c>
      <c r="B421" s="151" t="s">
        <v>1377</v>
      </c>
    </row>
    <row r="422" spans="1:2">
      <c r="A422" s="151" t="s">
        <v>1378</v>
      </c>
      <c r="B422" s="151" t="s">
        <v>1379</v>
      </c>
    </row>
    <row r="423" spans="1:2">
      <c r="A423" s="151" t="s">
        <v>1380</v>
      </c>
      <c r="B423" s="151" t="s">
        <v>1381</v>
      </c>
    </row>
    <row r="424" spans="1:2">
      <c r="A424" s="151" t="s">
        <v>1382</v>
      </c>
      <c r="B424" s="151" t="s">
        <v>1383</v>
      </c>
    </row>
    <row r="425" spans="1:2">
      <c r="A425" s="151" t="s">
        <v>1384</v>
      </c>
      <c r="B425" s="151" t="s">
        <v>1385</v>
      </c>
    </row>
    <row r="426" spans="1:2">
      <c r="A426" s="151" t="s">
        <v>1386</v>
      </c>
      <c r="B426" s="151" t="s">
        <v>1387</v>
      </c>
    </row>
    <row r="427" spans="1:2">
      <c r="A427" s="151" t="s">
        <v>1388</v>
      </c>
      <c r="B427" s="151" t="s">
        <v>1389</v>
      </c>
    </row>
    <row r="428" spans="1:2">
      <c r="A428" s="151" t="s">
        <v>1390</v>
      </c>
      <c r="B428" s="151" t="s">
        <v>1391</v>
      </c>
    </row>
    <row r="429" spans="1:2">
      <c r="A429" s="151" t="s">
        <v>1392</v>
      </c>
      <c r="B429" s="151" t="s">
        <v>1393</v>
      </c>
    </row>
    <row r="430" spans="1:2">
      <c r="A430" s="151" t="s">
        <v>1394</v>
      </c>
      <c r="B430" s="151" t="s">
        <v>1395</v>
      </c>
    </row>
    <row r="431" spans="1:2">
      <c r="A431" s="151" t="s">
        <v>1396</v>
      </c>
      <c r="B431" s="151" t="s">
        <v>1397</v>
      </c>
    </row>
    <row r="432" spans="1:2">
      <c r="A432" s="151" t="s">
        <v>1398</v>
      </c>
      <c r="B432" s="151" t="s">
        <v>1399</v>
      </c>
    </row>
    <row r="433" spans="1:2">
      <c r="A433" s="151" t="s">
        <v>1400</v>
      </c>
      <c r="B433" s="151" t="s">
        <v>1401</v>
      </c>
    </row>
    <row r="434" spans="1:2">
      <c r="A434" s="151" t="s">
        <v>1402</v>
      </c>
      <c r="B434" s="151" t="s">
        <v>1403</v>
      </c>
    </row>
    <row r="435" spans="1:2">
      <c r="A435" s="151" t="s">
        <v>1404</v>
      </c>
      <c r="B435" s="151" t="s">
        <v>1405</v>
      </c>
    </row>
    <row r="436" spans="1:2">
      <c r="A436" s="151" t="s">
        <v>1406</v>
      </c>
      <c r="B436" s="151" t="s">
        <v>1407</v>
      </c>
    </row>
    <row r="437" spans="1:2">
      <c r="A437" s="151" t="s">
        <v>1408</v>
      </c>
      <c r="B437" s="151" t="s">
        <v>1409</v>
      </c>
    </row>
    <row r="438" spans="1:2">
      <c r="A438" s="151" t="s">
        <v>1410</v>
      </c>
      <c r="B438" s="151" t="s">
        <v>1411</v>
      </c>
    </row>
    <row r="439" spans="1:2">
      <c r="A439" s="151" t="s">
        <v>1412</v>
      </c>
      <c r="B439" s="151" t="s">
        <v>1413</v>
      </c>
    </row>
    <row r="440" spans="1:2">
      <c r="A440" s="151" t="s">
        <v>1414</v>
      </c>
      <c r="B440" s="151" t="s">
        <v>1415</v>
      </c>
    </row>
    <row r="441" spans="1:2">
      <c r="A441" s="151" t="s">
        <v>1416</v>
      </c>
      <c r="B441" s="151" t="s">
        <v>1417</v>
      </c>
    </row>
    <row r="442" spans="1:2">
      <c r="A442" s="151" t="s">
        <v>1418</v>
      </c>
      <c r="B442" s="151" t="s">
        <v>1419</v>
      </c>
    </row>
    <row r="443" spans="1:2">
      <c r="A443" s="151" t="s">
        <v>1420</v>
      </c>
      <c r="B443" s="151" t="s">
        <v>1421</v>
      </c>
    </row>
    <row r="444" spans="1:2">
      <c r="A444" s="151" t="s">
        <v>1422</v>
      </c>
      <c r="B444" s="151" t="s">
        <v>1423</v>
      </c>
    </row>
    <row r="445" spans="1:2">
      <c r="A445" s="151" t="s">
        <v>1424</v>
      </c>
      <c r="B445" s="151" t="s">
        <v>1425</v>
      </c>
    </row>
    <row r="446" spans="1:2">
      <c r="A446" s="151" t="s">
        <v>1426</v>
      </c>
      <c r="B446" s="151" t="s">
        <v>1427</v>
      </c>
    </row>
    <row r="447" spans="1:2">
      <c r="A447" s="151" t="s">
        <v>1428</v>
      </c>
      <c r="B447" s="151" t="s">
        <v>1429</v>
      </c>
    </row>
    <row r="448" spans="1:2">
      <c r="A448" s="151" t="s">
        <v>1430</v>
      </c>
      <c r="B448" s="151" t="s">
        <v>1431</v>
      </c>
    </row>
    <row r="449" spans="1:2">
      <c r="A449" s="151" t="s">
        <v>1432</v>
      </c>
      <c r="B449" s="151" t="s">
        <v>1433</v>
      </c>
    </row>
    <row r="450" spans="1:2">
      <c r="A450" s="151" t="s">
        <v>1434</v>
      </c>
      <c r="B450" s="151" t="s">
        <v>1435</v>
      </c>
    </row>
    <row r="451" spans="1:2">
      <c r="A451" s="151" t="s">
        <v>1436</v>
      </c>
      <c r="B451" s="151" t="s">
        <v>1437</v>
      </c>
    </row>
    <row r="452" spans="1:2">
      <c r="A452" s="151" t="s">
        <v>1438</v>
      </c>
      <c r="B452" s="151" t="s">
        <v>1439</v>
      </c>
    </row>
    <row r="453" spans="1:2">
      <c r="A453" s="151" t="s">
        <v>1440</v>
      </c>
      <c r="B453" s="151" t="s">
        <v>1441</v>
      </c>
    </row>
    <row r="454" spans="1:2">
      <c r="A454" s="151" t="s">
        <v>1442</v>
      </c>
      <c r="B454" s="151" t="s">
        <v>1443</v>
      </c>
    </row>
    <row r="455" spans="1:2">
      <c r="A455" s="151" t="s">
        <v>1444</v>
      </c>
      <c r="B455" s="151" t="s">
        <v>1445</v>
      </c>
    </row>
    <row r="456" spans="1:2">
      <c r="A456" s="151" t="s">
        <v>1446</v>
      </c>
      <c r="B456" s="151" t="s">
        <v>1447</v>
      </c>
    </row>
    <row r="457" spans="1:2">
      <c r="A457" s="151" t="s">
        <v>1448</v>
      </c>
      <c r="B457" s="151" t="s">
        <v>1449</v>
      </c>
    </row>
    <row r="458" spans="1:2">
      <c r="A458" s="151" t="s">
        <v>1450</v>
      </c>
      <c r="B458" s="151" t="s">
        <v>1451</v>
      </c>
    </row>
    <row r="459" spans="1:2">
      <c r="A459" s="151" t="s">
        <v>1452</v>
      </c>
      <c r="B459" s="151" t="s">
        <v>1453</v>
      </c>
    </row>
    <row r="460" spans="1:2">
      <c r="A460" s="151" t="s">
        <v>1454</v>
      </c>
      <c r="B460" s="151" t="s">
        <v>1455</v>
      </c>
    </row>
    <row r="461" spans="1:2">
      <c r="A461" s="151" t="s">
        <v>1456</v>
      </c>
      <c r="B461" s="151" t="s">
        <v>1457</v>
      </c>
    </row>
    <row r="462" spans="1:2">
      <c r="A462" s="151" t="s">
        <v>1458</v>
      </c>
      <c r="B462" s="151" t="s">
        <v>1459</v>
      </c>
    </row>
    <row r="463" spans="1:2">
      <c r="A463" s="151" t="s">
        <v>1460</v>
      </c>
      <c r="B463" s="151" t="s">
        <v>1461</v>
      </c>
    </row>
    <row r="464" spans="1:2">
      <c r="A464" s="151" t="s">
        <v>1462</v>
      </c>
      <c r="B464" s="151" t="s">
        <v>1463</v>
      </c>
    </row>
    <row r="465" spans="1:2">
      <c r="A465" s="151" t="s">
        <v>1464</v>
      </c>
      <c r="B465" s="151" t="s">
        <v>1465</v>
      </c>
    </row>
    <row r="466" spans="1:2">
      <c r="A466" s="151" t="s">
        <v>1466</v>
      </c>
      <c r="B466" s="151" t="s">
        <v>1467</v>
      </c>
    </row>
    <row r="467" spans="1:2">
      <c r="A467" s="151" t="s">
        <v>1468</v>
      </c>
      <c r="B467" s="151" t="s">
        <v>1469</v>
      </c>
    </row>
    <row r="468" spans="1:2">
      <c r="A468" s="151" t="s">
        <v>1470</v>
      </c>
      <c r="B468" s="151" t="s">
        <v>1471</v>
      </c>
    </row>
    <row r="469" spans="1:2">
      <c r="A469" s="151" t="s">
        <v>1472</v>
      </c>
      <c r="B469" s="151" t="s">
        <v>1473</v>
      </c>
    </row>
    <row r="470" spans="1:2">
      <c r="A470" s="151" t="s">
        <v>1474</v>
      </c>
      <c r="B470" s="151" t="s">
        <v>1475</v>
      </c>
    </row>
    <row r="471" spans="1:2">
      <c r="A471" s="151" t="s">
        <v>1476</v>
      </c>
      <c r="B471" s="151" t="s">
        <v>1477</v>
      </c>
    </row>
    <row r="472" spans="1:2">
      <c r="A472" s="151" t="s">
        <v>1478</v>
      </c>
      <c r="B472" s="151" t="s">
        <v>1479</v>
      </c>
    </row>
    <row r="473" spans="1:2">
      <c r="A473" s="151" t="s">
        <v>1480</v>
      </c>
      <c r="B473" s="151" t="s">
        <v>1481</v>
      </c>
    </row>
    <row r="474" spans="1:2">
      <c r="A474" s="151" t="s">
        <v>1482</v>
      </c>
      <c r="B474" s="151" t="s">
        <v>1483</v>
      </c>
    </row>
    <row r="475" spans="1:2">
      <c r="A475" s="151" t="s">
        <v>1484</v>
      </c>
      <c r="B475" s="151" t="s">
        <v>1485</v>
      </c>
    </row>
    <row r="476" spans="1:2">
      <c r="A476" s="151" t="s">
        <v>1486</v>
      </c>
      <c r="B476" s="151" t="s">
        <v>1487</v>
      </c>
    </row>
    <row r="477" spans="1:2">
      <c r="A477" s="151" t="s">
        <v>1488</v>
      </c>
      <c r="B477" s="151" t="s">
        <v>1489</v>
      </c>
    </row>
    <row r="478" spans="1:2">
      <c r="A478" s="151" t="s">
        <v>1490</v>
      </c>
      <c r="B478" s="151" t="s">
        <v>1491</v>
      </c>
    </row>
    <row r="479" spans="1:2">
      <c r="A479" s="151" t="s">
        <v>1492</v>
      </c>
      <c r="B479" s="151" t="s">
        <v>1493</v>
      </c>
    </row>
    <row r="480" spans="1:2">
      <c r="A480" s="151" t="s">
        <v>1494</v>
      </c>
      <c r="B480" s="151" t="s">
        <v>1495</v>
      </c>
    </row>
    <row r="481" spans="1:2">
      <c r="A481" s="151" t="s">
        <v>1496</v>
      </c>
      <c r="B481" s="151" t="s">
        <v>1497</v>
      </c>
    </row>
    <row r="482" spans="1:2">
      <c r="A482" s="151" t="s">
        <v>1498</v>
      </c>
      <c r="B482" s="151" t="s">
        <v>1499</v>
      </c>
    </row>
    <row r="483" spans="1:2">
      <c r="A483" s="151" t="s">
        <v>1500</v>
      </c>
      <c r="B483" s="151" t="s">
        <v>1501</v>
      </c>
    </row>
    <row r="484" spans="1:2">
      <c r="A484" s="151" t="s">
        <v>1502</v>
      </c>
      <c r="B484" s="151" t="s">
        <v>1503</v>
      </c>
    </row>
    <row r="485" spans="1:2">
      <c r="A485" s="151" t="s">
        <v>1504</v>
      </c>
      <c r="B485" s="151" t="s">
        <v>1505</v>
      </c>
    </row>
    <row r="486" spans="1:2">
      <c r="A486" s="151" t="s">
        <v>1506</v>
      </c>
      <c r="B486" s="151" t="s">
        <v>1507</v>
      </c>
    </row>
    <row r="487" spans="1:2">
      <c r="A487" s="151" t="s">
        <v>1508</v>
      </c>
      <c r="B487" s="151" t="s">
        <v>1509</v>
      </c>
    </row>
    <row r="488" spans="1:2">
      <c r="A488" s="151" t="s">
        <v>1510</v>
      </c>
      <c r="B488" s="151" t="s">
        <v>1511</v>
      </c>
    </row>
    <row r="489" spans="1:2">
      <c r="A489" s="151" t="s">
        <v>1512</v>
      </c>
      <c r="B489" s="151" t="s">
        <v>1513</v>
      </c>
    </row>
    <row r="490" spans="1:2">
      <c r="A490" s="151" t="s">
        <v>1514</v>
      </c>
      <c r="B490" s="151" t="s">
        <v>1515</v>
      </c>
    </row>
    <row r="491" spans="1:2">
      <c r="A491" s="151" t="s">
        <v>1516</v>
      </c>
      <c r="B491" s="151" t="s">
        <v>1517</v>
      </c>
    </row>
    <row r="492" spans="1:2">
      <c r="A492" s="151" t="s">
        <v>1518</v>
      </c>
      <c r="B492" s="151" t="s">
        <v>1519</v>
      </c>
    </row>
    <row r="493" spans="1:2">
      <c r="A493" s="151" t="s">
        <v>1520</v>
      </c>
      <c r="B493" s="151" t="s">
        <v>1521</v>
      </c>
    </row>
    <row r="494" spans="1:2">
      <c r="A494" s="151" t="s">
        <v>1522</v>
      </c>
      <c r="B494" s="151" t="s">
        <v>1523</v>
      </c>
    </row>
    <row r="495" spans="1:2">
      <c r="A495" s="151" t="s">
        <v>1524</v>
      </c>
      <c r="B495" s="151" t="s">
        <v>1525</v>
      </c>
    </row>
    <row r="496" spans="1:2">
      <c r="A496" s="151" t="s">
        <v>1526</v>
      </c>
      <c r="B496" s="151" t="s">
        <v>1527</v>
      </c>
    </row>
    <row r="497" spans="1:2">
      <c r="A497" s="151" t="s">
        <v>1528</v>
      </c>
      <c r="B497" s="151" t="s">
        <v>1529</v>
      </c>
    </row>
    <row r="498" spans="1:2">
      <c r="A498" s="151" t="s">
        <v>1530</v>
      </c>
      <c r="B498" s="151" t="s">
        <v>1531</v>
      </c>
    </row>
    <row r="499" spans="1:2">
      <c r="A499" s="151" t="s">
        <v>1532</v>
      </c>
      <c r="B499" s="151" t="s">
        <v>1533</v>
      </c>
    </row>
    <row r="500" spans="1:2">
      <c r="A500" s="151" t="s">
        <v>1534</v>
      </c>
      <c r="B500" s="151" t="s">
        <v>1535</v>
      </c>
    </row>
    <row r="501" spans="1:2">
      <c r="A501" s="151" t="s">
        <v>1536</v>
      </c>
      <c r="B501" s="151" t="s">
        <v>284</v>
      </c>
    </row>
    <row r="502" spans="1:2">
      <c r="A502" s="151" t="s">
        <v>1537</v>
      </c>
      <c r="B502" s="151" t="s">
        <v>1538</v>
      </c>
    </row>
    <row r="503" spans="1:2">
      <c r="A503" s="151" t="s">
        <v>1539</v>
      </c>
      <c r="B503" s="151" t="s">
        <v>1540</v>
      </c>
    </row>
    <row r="504" spans="1:2">
      <c r="A504" s="151" t="s">
        <v>1541</v>
      </c>
      <c r="B504" s="151" t="s">
        <v>1542</v>
      </c>
    </row>
    <row r="505" spans="1:2">
      <c r="A505" s="151" t="s">
        <v>1543</v>
      </c>
      <c r="B505" s="151" t="s">
        <v>1544</v>
      </c>
    </row>
    <row r="506" spans="1:2">
      <c r="A506" s="151" t="s">
        <v>1545</v>
      </c>
      <c r="B506" s="151" t="s">
        <v>1546</v>
      </c>
    </row>
    <row r="507" spans="1:2">
      <c r="A507" s="151" t="s">
        <v>1547</v>
      </c>
      <c r="B507" s="151" t="s">
        <v>1548</v>
      </c>
    </row>
    <row r="508" spans="1:2">
      <c r="A508" s="151" t="s">
        <v>1549</v>
      </c>
      <c r="B508" s="151" t="s">
        <v>1550</v>
      </c>
    </row>
    <row r="509" spans="1:2">
      <c r="A509" s="151" t="s">
        <v>1551</v>
      </c>
      <c r="B509" s="151" t="s">
        <v>1552</v>
      </c>
    </row>
    <row r="510" spans="1:2">
      <c r="A510" s="151" t="s">
        <v>1553</v>
      </c>
      <c r="B510" s="151" t="s">
        <v>1554</v>
      </c>
    </row>
    <row r="511" spans="1:2">
      <c r="A511" s="151" t="s">
        <v>1555</v>
      </c>
      <c r="B511" s="151" t="s">
        <v>1556</v>
      </c>
    </row>
    <row r="512" spans="1:2">
      <c r="A512" s="151" t="s">
        <v>1557</v>
      </c>
      <c r="B512" s="151" t="s">
        <v>1558</v>
      </c>
    </row>
    <row r="513" spans="1:2">
      <c r="A513" s="151" t="s">
        <v>1559</v>
      </c>
      <c r="B513" s="151" t="s">
        <v>1560</v>
      </c>
    </row>
    <row r="514" spans="1:2">
      <c r="A514" s="151" t="s">
        <v>1561</v>
      </c>
      <c r="B514" s="151" t="s">
        <v>1562</v>
      </c>
    </row>
    <row r="515" spans="1:2">
      <c r="A515" s="151" t="s">
        <v>1563</v>
      </c>
      <c r="B515" s="151" t="s">
        <v>1564</v>
      </c>
    </row>
    <row r="516" spans="1:2">
      <c r="A516" s="151" t="s">
        <v>1565</v>
      </c>
      <c r="B516" s="151" t="s">
        <v>1566</v>
      </c>
    </row>
    <row r="517" spans="1:2">
      <c r="A517" s="151" t="s">
        <v>1567</v>
      </c>
      <c r="B517" s="151" t="s">
        <v>1568</v>
      </c>
    </row>
    <row r="518" spans="1:2">
      <c r="A518" s="151" t="s">
        <v>1569</v>
      </c>
      <c r="B518" s="151" t="s">
        <v>1570</v>
      </c>
    </row>
    <row r="519" spans="1:2">
      <c r="A519" s="151" t="s">
        <v>1571</v>
      </c>
      <c r="B519" s="151" t="s">
        <v>1572</v>
      </c>
    </row>
    <row r="520" spans="1:2">
      <c r="A520" s="151" t="s">
        <v>1573</v>
      </c>
      <c r="B520" s="151" t="s">
        <v>1574</v>
      </c>
    </row>
    <row r="521" spans="1:2">
      <c r="A521" s="151" t="s">
        <v>1575</v>
      </c>
      <c r="B521" s="151" t="s">
        <v>1576</v>
      </c>
    </row>
    <row r="522" spans="1:2">
      <c r="A522" s="151" t="s">
        <v>1577</v>
      </c>
      <c r="B522" s="151" t="s">
        <v>1578</v>
      </c>
    </row>
    <row r="523" spans="1:2">
      <c r="A523" s="151" t="s">
        <v>1579</v>
      </c>
      <c r="B523" s="151" t="s">
        <v>1580</v>
      </c>
    </row>
    <row r="524" spans="1:2">
      <c r="A524" s="151" t="s">
        <v>1581</v>
      </c>
      <c r="B524" s="151" t="s">
        <v>1582</v>
      </c>
    </row>
    <row r="525" spans="1:2">
      <c r="A525" s="151" t="s">
        <v>1583</v>
      </c>
      <c r="B525" s="151" t="s">
        <v>1584</v>
      </c>
    </row>
    <row r="526" spans="1:2">
      <c r="A526" s="151" t="s">
        <v>1585</v>
      </c>
      <c r="B526" s="151" t="s">
        <v>1586</v>
      </c>
    </row>
    <row r="527" spans="1:2">
      <c r="A527" s="151" t="s">
        <v>1587</v>
      </c>
      <c r="B527" s="151" t="s">
        <v>1588</v>
      </c>
    </row>
    <row r="528" spans="1:2">
      <c r="A528" s="151" t="s">
        <v>1589</v>
      </c>
      <c r="B528" s="151" t="s">
        <v>1590</v>
      </c>
    </row>
    <row r="529" spans="1:2">
      <c r="A529" s="151" t="s">
        <v>1591</v>
      </c>
      <c r="B529" s="151" t="s">
        <v>1592</v>
      </c>
    </row>
    <row r="530" spans="1:2">
      <c r="A530" s="151" t="s">
        <v>1593</v>
      </c>
      <c r="B530" s="151" t="s">
        <v>1594</v>
      </c>
    </row>
    <row r="531" spans="1:2">
      <c r="A531" s="151" t="s">
        <v>1595</v>
      </c>
      <c r="B531" s="151" t="s">
        <v>1596</v>
      </c>
    </row>
    <row r="532" spans="1:2">
      <c r="A532" s="151" t="s">
        <v>1597</v>
      </c>
      <c r="B532" s="151" t="s">
        <v>1598</v>
      </c>
    </row>
    <row r="533" spans="1:2">
      <c r="A533" s="151" t="s">
        <v>1599</v>
      </c>
      <c r="B533" s="151" t="s">
        <v>1600</v>
      </c>
    </row>
    <row r="534" spans="1:2">
      <c r="A534" s="151" t="s">
        <v>1601</v>
      </c>
      <c r="B534" s="151" t="s">
        <v>1602</v>
      </c>
    </row>
    <row r="535" spans="1:2">
      <c r="A535" s="151" t="s">
        <v>1603</v>
      </c>
      <c r="B535" s="151" t="s">
        <v>1604</v>
      </c>
    </row>
    <row r="536" spans="1:2">
      <c r="A536" s="151" t="s">
        <v>1605</v>
      </c>
      <c r="B536" s="151" t="s">
        <v>1606</v>
      </c>
    </row>
    <row r="537" spans="1:2">
      <c r="A537" s="151" t="s">
        <v>1607</v>
      </c>
      <c r="B537" s="151" t="s">
        <v>1608</v>
      </c>
    </row>
    <row r="538" spans="1:2">
      <c r="A538" s="151" t="s">
        <v>1609</v>
      </c>
      <c r="B538" s="151" t="s">
        <v>1610</v>
      </c>
    </row>
    <row r="539" spans="1:2">
      <c r="A539" s="151" t="s">
        <v>1611</v>
      </c>
      <c r="B539" s="151" t="s">
        <v>1612</v>
      </c>
    </row>
    <row r="540" spans="1:2">
      <c r="A540" s="151" t="s">
        <v>1613</v>
      </c>
      <c r="B540" s="151" t="s">
        <v>1614</v>
      </c>
    </row>
    <row r="541" spans="1:2">
      <c r="A541" s="151" t="s">
        <v>1615</v>
      </c>
      <c r="B541" s="151" t="s">
        <v>1616</v>
      </c>
    </row>
    <row r="542" spans="1:2">
      <c r="A542" s="151" t="s">
        <v>1617</v>
      </c>
      <c r="B542" s="151" t="s">
        <v>1618</v>
      </c>
    </row>
    <row r="543" spans="1:2">
      <c r="A543" s="151" t="s">
        <v>1619</v>
      </c>
      <c r="B543" s="151" t="s">
        <v>1620</v>
      </c>
    </row>
    <row r="544" spans="1:2">
      <c r="A544" s="151" t="s">
        <v>1621</v>
      </c>
      <c r="B544" s="151" t="s">
        <v>1622</v>
      </c>
    </row>
    <row r="545" spans="1:2">
      <c r="A545" s="151" t="s">
        <v>1623</v>
      </c>
      <c r="B545" s="151" t="s">
        <v>1624</v>
      </c>
    </row>
    <row r="546" spans="1:2">
      <c r="A546" s="151" t="s">
        <v>1625</v>
      </c>
      <c r="B546" s="151" t="s">
        <v>1626</v>
      </c>
    </row>
    <row r="547" spans="1:2">
      <c r="A547" s="151" t="s">
        <v>1627</v>
      </c>
      <c r="B547" s="151" t="s">
        <v>1628</v>
      </c>
    </row>
    <row r="548" spans="1:2">
      <c r="A548" s="151" t="s">
        <v>1629</v>
      </c>
      <c r="B548" s="151" t="s">
        <v>1630</v>
      </c>
    </row>
    <row r="549" spans="1:2">
      <c r="A549" s="151" t="s">
        <v>1631</v>
      </c>
      <c r="B549" s="151" t="s">
        <v>1632</v>
      </c>
    </row>
    <row r="550" spans="1:2">
      <c r="A550" s="151" t="s">
        <v>1633</v>
      </c>
      <c r="B550" s="151" t="s">
        <v>1634</v>
      </c>
    </row>
    <row r="551" spans="1:2">
      <c r="A551" s="151" t="s">
        <v>1635</v>
      </c>
      <c r="B551" s="151" t="s">
        <v>1636</v>
      </c>
    </row>
    <row r="552" spans="1:2">
      <c r="A552" s="151" t="s">
        <v>1637</v>
      </c>
      <c r="B552" s="151" t="s">
        <v>1638</v>
      </c>
    </row>
    <row r="553" spans="1:2">
      <c r="A553" s="151" t="s">
        <v>1639</v>
      </c>
      <c r="B553" s="151" t="s">
        <v>1640</v>
      </c>
    </row>
    <row r="554" spans="1:2">
      <c r="A554" s="151" t="s">
        <v>1641</v>
      </c>
      <c r="B554" s="151" t="s">
        <v>1642</v>
      </c>
    </row>
    <row r="555" spans="1:2">
      <c r="A555" s="151" t="s">
        <v>1643</v>
      </c>
      <c r="B555" s="151" t="s">
        <v>1644</v>
      </c>
    </row>
    <row r="556" spans="1:2">
      <c r="A556" s="151" t="s">
        <v>1645</v>
      </c>
      <c r="B556" s="151" t="s">
        <v>1646</v>
      </c>
    </row>
    <row r="557" spans="1:2">
      <c r="A557" s="151" t="s">
        <v>1647</v>
      </c>
      <c r="B557" s="151" t="s">
        <v>1648</v>
      </c>
    </row>
    <row r="558" spans="1:2">
      <c r="A558" s="151" t="s">
        <v>1649</v>
      </c>
      <c r="B558" s="151" t="s">
        <v>1650</v>
      </c>
    </row>
    <row r="559" spans="1:2">
      <c r="A559" s="151" t="s">
        <v>1651</v>
      </c>
      <c r="B559" s="151" t="s">
        <v>1652</v>
      </c>
    </row>
    <row r="560" spans="1:2">
      <c r="A560" s="151" t="s">
        <v>1653</v>
      </c>
      <c r="B560" s="151" t="s">
        <v>1654</v>
      </c>
    </row>
    <row r="561" spans="1:2">
      <c r="A561" s="151" t="s">
        <v>1655</v>
      </c>
      <c r="B561" s="151" t="s">
        <v>1656</v>
      </c>
    </row>
    <row r="562" spans="1:2">
      <c r="A562" s="151" t="s">
        <v>1657</v>
      </c>
      <c r="B562" s="151" t="s">
        <v>1658</v>
      </c>
    </row>
    <row r="563" spans="1:2">
      <c r="A563" s="151" t="s">
        <v>1659</v>
      </c>
      <c r="B563" s="151" t="s">
        <v>1660</v>
      </c>
    </row>
    <row r="564" spans="1:2">
      <c r="A564" s="151" t="s">
        <v>1661</v>
      </c>
      <c r="B564" s="151" t="s">
        <v>1662</v>
      </c>
    </row>
    <row r="565" spans="1:2">
      <c r="A565" s="151" t="s">
        <v>1663</v>
      </c>
      <c r="B565" s="151" t="s">
        <v>1664</v>
      </c>
    </row>
    <row r="566" spans="1:2">
      <c r="A566" s="151" t="s">
        <v>1665</v>
      </c>
      <c r="B566" s="151" t="s">
        <v>1666</v>
      </c>
    </row>
    <row r="567" spans="1:2">
      <c r="A567" s="151" t="s">
        <v>1667</v>
      </c>
      <c r="B567" s="151" t="s">
        <v>1668</v>
      </c>
    </row>
    <row r="568" spans="1:2">
      <c r="A568" s="151" t="s">
        <v>1669</v>
      </c>
      <c r="B568" s="151" t="s">
        <v>1670</v>
      </c>
    </row>
    <row r="569" spans="1:2">
      <c r="A569" s="151" t="s">
        <v>1671</v>
      </c>
      <c r="B569" s="151" t="s">
        <v>1672</v>
      </c>
    </row>
    <row r="570" spans="1:2">
      <c r="A570" s="151" t="s">
        <v>1673</v>
      </c>
      <c r="B570" s="151" t="s">
        <v>1674</v>
      </c>
    </row>
    <row r="571" spans="1:2">
      <c r="A571" s="151" t="s">
        <v>1675</v>
      </c>
      <c r="B571" s="151" t="s">
        <v>1676</v>
      </c>
    </row>
    <row r="572" spans="1:2">
      <c r="A572" s="151" t="s">
        <v>1677</v>
      </c>
      <c r="B572" s="151" t="s">
        <v>1678</v>
      </c>
    </row>
    <row r="573" spans="1:2">
      <c r="A573" s="151" t="s">
        <v>1679</v>
      </c>
      <c r="B573" s="151" t="s">
        <v>1680</v>
      </c>
    </row>
    <row r="574" spans="1:2">
      <c r="A574" s="151" t="s">
        <v>1681</v>
      </c>
      <c r="B574" s="151" t="s">
        <v>1682</v>
      </c>
    </row>
    <row r="575" spans="1:2">
      <c r="A575" s="151" t="s">
        <v>1683</v>
      </c>
      <c r="B575" s="151" t="s">
        <v>1684</v>
      </c>
    </row>
    <row r="576" spans="1:2">
      <c r="A576" s="151" t="s">
        <v>1685</v>
      </c>
      <c r="B576" s="151" t="s">
        <v>1686</v>
      </c>
    </row>
    <row r="577" spans="1:2">
      <c r="A577" s="151" t="s">
        <v>1687</v>
      </c>
      <c r="B577" s="151" t="s">
        <v>1688</v>
      </c>
    </row>
    <row r="578" spans="1:2">
      <c r="A578" s="151" t="s">
        <v>1689</v>
      </c>
      <c r="B578" s="151" t="s">
        <v>1690</v>
      </c>
    </row>
    <row r="579" spans="1:2">
      <c r="A579" s="151" t="s">
        <v>1691</v>
      </c>
      <c r="B579" s="151" t="s">
        <v>1692</v>
      </c>
    </row>
    <row r="580" spans="1:2">
      <c r="A580" s="151" t="s">
        <v>1693</v>
      </c>
      <c r="B580" s="151" t="s">
        <v>1694</v>
      </c>
    </row>
    <row r="581" spans="1:2">
      <c r="A581" s="151" t="s">
        <v>1695</v>
      </c>
      <c r="B581" s="151" t="s">
        <v>1696</v>
      </c>
    </row>
    <row r="582" spans="1:2">
      <c r="A582" s="151" t="s">
        <v>1697</v>
      </c>
      <c r="B582" s="151" t="s">
        <v>1698</v>
      </c>
    </row>
    <row r="583" spans="1:2">
      <c r="A583" s="151" t="s">
        <v>1699</v>
      </c>
      <c r="B583" s="151" t="s">
        <v>1700</v>
      </c>
    </row>
    <row r="584" spans="1:2">
      <c r="A584" s="151" t="s">
        <v>1701</v>
      </c>
      <c r="B584" s="151" t="s">
        <v>1702</v>
      </c>
    </row>
    <row r="585" spans="1:2">
      <c r="A585" s="151" t="s">
        <v>1703</v>
      </c>
      <c r="B585" s="151" t="s">
        <v>1704</v>
      </c>
    </row>
    <row r="586" spans="1:2">
      <c r="A586" s="151" t="s">
        <v>1705</v>
      </c>
      <c r="B586" s="151" t="s">
        <v>1706</v>
      </c>
    </row>
    <row r="587" spans="1:2">
      <c r="A587" s="151" t="s">
        <v>1707</v>
      </c>
      <c r="B587" s="151" t="s">
        <v>1708</v>
      </c>
    </row>
    <row r="588" spans="1:2">
      <c r="A588" s="151" t="s">
        <v>1709</v>
      </c>
      <c r="B588" s="151" t="s">
        <v>119</v>
      </c>
    </row>
    <row r="589" spans="1:2">
      <c r="A589" s="151" t="s">
        <v>1710</v>
      </c>
      <c r="B589" s="151" t="s">
        <v>1711</v>
      </c>
    </row>
    <row r="590" spans="1:2">
      <c r="A590" s="151" t="s">
        <v>1712</v>
      </c>
      <c r="B590" s="151" t="s">
        <v>1713</v>
      </c>
    </row>
    <row r="591" spans="1:2">
      <c r="A591" s="151" t="s">
        <v>1714</v>
      </c>
      <c r="B591" s="151" t="s">
        <v>1715</v>
      </c>
    </row>
    <row r="592" spans="1:2">
      <c r="A592" s="151" t="s">
        <v>1716</v>
      </c>
      <c r="B592" s="151" t="s">
        <v>1717</v>
      </c>
    </row>
    <row r="593" spans="1:2">
      <c r="A593" s="151" t="s">
        <v>1718</v>
      </c>
      <c r="B593" s="151" t="s">
        <v>1719</v>
      </c>
    </row>
    <row r="594" spans="1:2">
      <c r="A594" s="151" t="s">
        <v>1720</v>
      </c>
      <c r="B594" s="151" t="s">
        <v>1721</v>
      </c>
    </row>
    <row r="595" spans="1:2">
      <c r="A595" s="151" t="s">
        <v>1722</v>
      </c>
      <c r="B595" s="151" t="s">
        <v>1723</v>
      </c>
    </row>
    <row r="596" spans="1:2">
      <c r="A596" s="151" t="s">
        <v>1724</v>
      </c>
      <c r="B596" s="151" t="s">
        <v>1725</v>
      </c>
    </row>
    <row r="597" spans="1:2">
      <c r="A597" s="151" t="s">
        <v>1726</v>
      </c>
      <c r="B597" s="151" t="s">
        <v>1727</v>
      </c>
    </row>
    <row r="598" spans="1:2">
      <c r="A598" s="151" t="s">
        <v>1728</v>
      </c>
      <c r="B598" s="151" t="s">
        <v>1729</v>
      </c>
    </row>
    <row r="599" spans="1:2">
      <c r="A599" s="151" t="s">
        <v>1730</v>
      </c>
      <c r="B599" s="151" t="s">
        <v>1731</v>
      </c>
    </row>
    <row r="600" spans="1:2">
      <c r="A600" s="151" t="s">
        <v>1732</v>
      </c>
      <c r="B600" s="151" t="s">
        <v>1733</v>
      </c>
    </row>
    <row r="601" spans="1:2">
      <c r="A601" s="151" t="s">
        <v>1734</v>
      </c>
      <c r="B601" s="151" t="s">
        <v>1735</v>
      </c>
    </row>
    <row r="602" spans="1:2">
      <c r="A602" s="151" t="s">
        <v>1736</v>
      </c>
      <c r="B602" s="151" t="s">
        <v>1737</v>
      </c>
    </row>
    <row r="603" spans="1:2">
      <c r="A603" s="151" t="s">
        <v>1738</v>
      </c>
      <c r="B603" s="151" t="s">
        <v>1739</v>
      </c>
    </row>
    <row r="604" spans="1:2">
      <c r="A604" s="151" t="s">
        <v>1740</v>
      </c>
      <c r="B604" s="151" t="s">
        <v>1741</v>
      </c>
    </row>
    <row r="605" spans="1:2">
      <c r="A605" s="151" t="s">
        <v>1742</v>
      </c>
      <c r="B605" s="151" t="s">
        <v>1743</v>
      </c>
    </row>
    <row r="606" spans="1:2">
      <c r="A606" s="151" t="s">
        <v>1744</v>
      </c>
      <c r="B606" s="151" t="s">
        <v>1745</v>
      </c>
    </row>
    <row r="607" spans="1:2">
      <c r="A607" s="151" t="s">
        <v>1746</v>
      </c>
      <c r="B607" s="151" t="s">
        <v>1747</v>
      </c>
    </row>
    <row r="608" spans="1:2">
      <c r="A608" s="151" t="s">
        <v>1748</v>
      </c>
      <c r="B608" s="151" t="s">
        <v>1749</v>
      </c>
    </row>
    <row r="609" spans="1:2">
      <c r="A609" s="151" t="s">
        <v>1750</v>
      </c>
      <c r="B609" s="151" t="s">
        <v>1751</v>
      </c>
    </row>
    <row r="610" spans="1:2">
      <c r="A610" s="151" t="s">
        <v>1752</v>
      </c>
      <c r="B610" s="151" t="s">
        <v>1753</v>
      </c>
    </row>
    <row r="611" spans="1:2">
      <c r="A611" s="151" t="s">
        <v>1754</v>
      </c>
      <c r="B611" s="151" t="s">
        <v>1755</v>
      </c>
    </row>
    <row r="612" spans="1:2">
      <c r="A612" s="151" t="s">
        <v>1756</v>
      </c>
      <c r="B612" s="151" t="s">
        <v>1757</v>
      </c>
    </row>
    <row r="613" spans="1:2">
      <c r="A613" s="151" t="s">
        <v>1758</v>
      </c>
      <c r="B613" s="151" t="s">
        <v>1759</v>
      </c>
    </row>
    <row r="614" spans="1:2">
      <c r="A614" s="151" t="s">
        <v>1760</v>
      </c>
      <c r="B614" s="151" t="s">
        <v>1761</v>
      </c>
    </row>
    <row r="615" spans="1:2">
      <c r="A615" s="151" t="s">
        <v>1762</v>
      </c>
      <c r="B615" s="151" t="s">
        <v>1763</v>
      </c>
    </row>
    <row r="616" spans="1:2">
      <c r="A616" s="151" t="s">
        <v>1764</v>
      </c>
      <c r="B616" s="151" t="s">
        <v>1765</v>
      </c>
    </row>
    <row r="617" spans="1:2">
      <c r="A617" s="151" t="s">
        <v>1766</v>
      </c>
      <c r="B617" s="151" t="s">
        <v>1767</v>
      </c>
    </row>
    <row r="618" spans="1:2">
      <c r="A618" s="151" t="s">
        <v>1768</v>
      </c>
      <c r="B618" s="151" t="s">
        <v>1769</v>
      </c>
    </row>
    <row r="619" spans="1:2">
      <c r="A619" s="151" t="s">
        <v>1770</v>
      </c>
      <c r="B619" s="151" t="s">
        <v>1771</v>
      </c>
    </row>
    <row r="620" spans="1:2">
      <c r="A620" s="151" t="s">
        <v>1772</v>
      </c>
      <c r="B620" s="151" t="s">
        <v>1773</v>
      </c>
    </row>
    <row r="621" spans="1:2">
      <c r="A621" s="151" t="s">
        <v>1774</v>
      </c>
      <c r="B621" s="151" t="s">
        <v>1775</v>
      </c>
    </row>
    <row r="622" spans="1:2">
      <c r="A622" s="151" t="s">
        <v>1776</v>
      </c>
      <c r="B622" s="151" t="s">
        <v>1777</v>
      </c>
    </row>
    <row r="623" spans="1:2">
      <c r="A623" s="151" t="s">
        <v>1778</v>
      </c>
      <c r="B623" s="151" t="s">
        <v>1779</v>
      </c>
    </row>
    <row r="624" spans="1:2">
      <c r="A624" s="151" t="s">
        <v>1780</v>
      </c>
      <c r="B624" s="151" t="s">
        <v>1781</v>
      </c>
    </row>
    <row r="625" spans="1:2">
      <c r="A625" s="151" t="s">
        <v>1782</v>
      </c>
      <c r="B625" s="151" t="s">
        <v>1783</v>
      </c>
    </row>
    <row r="626" spans="1:2">
      <c r="A626" s="151" t="s">
        <v>1784</v>
      </c>
      <c r="B626" s="151" t="s">
        <v>1785</v>
      </c>
    </row>
    <row r="627" spans="1:2">
      <c r="A627" s="151" t="s">
        <v>1786</v>
      </c>
      <c r="B627" s="151" t="s">
        <v>289</v>
      </c>
    </row>
    <row r="628" spans="1:2">
      <c r="A628" s="151" t="s">
        <v>1787</v>
      </c>
      <c r="B628" s="151" t="s">
        <v>1788</v>
      </c>
    </row>
    <row r="629" spans="1:2">
      <c r="A629" s="151" t="s">
        <v>1789</v>
      </c>
      <c r="B629" s="151" t="s">
        <v>1790</v>
      </c>
    </row>
    <row r="630" spans="1:2">
      <c r="A630" s="151" t="s">
        <v>1791</v>
      </c>
      <c r="B630" s="151" t="s">
        <v>1792</v>
      </c>
    </row>
    <row r="631" spans="1:2">
      <c r="A631" s="151" t="s">
        <v>1793</v>
      </c>
      <c r="B631" s="151" t="s">
        <v>1794</v>
      </c>
    </row>
    <row r="632" spans="1:2">
      <c r="A632" s="151" t="s">
        <v>1795</v>
      </c>
      <c r="B632" s="151" t="s">
        <v>1796</v>
      </c>
    </row>
    <row r="633" spans="1:2">
      <c r="A633" s="151" t="s">
        <v>1797</v>
      </c>
      <c r="B633" s="151" t="s">
        <v>1798</v>
      </c>
    </row>
    <row r="634" spans="1:2">
      <c r="A634" s="151" t="s">
        <v>1799</v>
      </c>
      <c r="B634" s="151" t="s">
        <v>1800</v>
      </c>
    </row>
    <row r="635" spans="1:2">
      <c r="A635" s="151" t="s">
        <v>1801</v>
      </c>
      <c r="B635" s="151" t="s">
        <v>1802</v>
      </c>
    </row>
    <row r="636" spans="1:2">
      <c r="A636" s="151" t="s">
        <v>1803</v>
      </c>
      <c r="B636" s="151" t="s">
        <v>1804</v>
      </c>
    </row>
    <row r="637" spans="1:2">
      <c r="A637" s="151" t="s">
        <v>1805</v>
      </c>
      <c r="B637" s="151" t="s">
        <v>1806</v>
      </c>
    </row>
    <row r="638" spans="1:2">
      <c r="A638" s="151" t="s">
        <v>1807</v>
      </c>
      <c r="B638" s="151" t="s">
        <v>1808</v>
      </c>
    </row>
    <row r="639" spans="1:2">
      <c r="A639" s="151" t="s">
        <v>1809</v>
      </c>
      <c r="B639" s="151" t="s">
        <v>1810</v>
      </c>
    </row>
    <row r="640" spans="1:2">
      <c r="A640" s="151" t="s">
        <v>1811</v>
      </c>
      <c r="B640" s="151" t="s">
        <v>1812</v>
      </c>
    </row>
    <row r="641" spans="1:2">
      <c r="A641" s="151" t="s">
        <v>1813</v>
      </c>
      <c r="B641" s="151" t="s">
        <v>1814</v>
      </c>
    </row>
    <row r="642" spans="1:2">
      <c r="A642" s="151" t="s">
        <v>1815</v>
      </c>
      <c r="B642" s="151" t="s">
        <v>1816</v>
      </c>
    </row>
    <row r="643" spans="1:2">
      <c r="A643" s="151" t="s">
        <v>1817</v>
      </c>
      <c r="B643" s="151" t="s">
        <v>1818</v>
      </c>
    </row>
    <row r="644" spans="1:2">
      <c r="A644" s="151" t="s">
        <v>1819</v>
      </c>
      <c r="B644" s="151" t="s">
        <v>1820</v>
      </c>
    </row>
    <row r="645" spans="1:2">
      <c r="A645" s="151" t="s">
        <v>1821</v>
      </c>
      <c r="B645" s="151" t="s">
        <v>1822</v>
      </c>
    </row>
    <row r="646" spans="1:2">
      <c r="A646" s="151" t="s">
        <v>1823</v>
      </c>
      <c r="B646" s="151" t="s">
        <v>1824</v>
      </c>
    </row>
    <row r="647" spans="1:2">
      <c r="A647" s="151" t="s">
        <v>1825</v>
      </c>
      <c r="B647" s="151" t="s">
        <v>1826</v>
      </c>
    </row>
    <row r="648" spans="1:2">
      <c r="A648" s="151" t="s">
        <v>1827</v>
      </c>
      <c r="B648" s="151" t="s">
        <v>1828</v>
      </c>
    </row>
    <row r="649" spans="1:2">
      <c r="A649" s="151" t="s">
        <v>1829</v>
      </c>
      <c r="B649" s="151" t="s">
        <v>1830</v>
      </c>
    </row>
    <row r="650" spans="1:2">
      <c r="A650" s="151" t="s">
        <v>1831</v>
      </c>
      <c r="B650" s="151" t="s">
        <v>1832</v>
      </c>
    </row>
    <row r="651" spans="1:2">
      <c r="A651" s="151" t="s">
        <v>1833</v>
      </c>
      <c r="B651" s="151" t="s">
        <v>1834</v>
      </c>
    </row>
    <row r="652" spans="1:2">
      <c r="A652" s="151" t="s">
        <v>1835</v>
      </c>
      <c r="B652" s="151" t="s">
        <v>1836</v>
      </c>
    </row>
    <row r="653" spans="1:2">
      <c r="A653" s="151" t="s">
        <v>1837</v>
      </c>
      <c r="B653" s="151" t="s">
        <v>1838</v>
      </c>
    </row>
    <row r="654" spans="1:2">
      <c r="A654" s="151" t="s">
        <v>1839</v>
      </c>
      <c r="B654" s="151" t="s">
        <v>1840</v>
      </c>
    </row>
    <row r="655" spans="1:2">
      <c r="A655" s="151" t="s">
        <v>1841</v>
      </c>
      <c r="B655" s="151" t="s">
        <v>1842</v>
      </c>
    </row>
    <row r="656" spans="1:2">
      <c r="A656" s="151" t="s">
        <v>1843</v>
      </c>
      <c r="B656" s="151" t="s">
        <v>1844</v>
      </c>
    </row>
    <row r="657" spans="1:2">
      <c r="A657" s="151" t="s">
        <v>1845</v>
      </c>
      <c r="B657" s="151" t="s">
        <v>1846</v>
      </c>
    </row>
    <row r="658" spans="1:2">
      <c r="A658" s="151" t="s">
        <v>1847</v>
      </c>
      <c r="B658" s="151" t="s">
        <v>1848</v>
      </c>
    </row>
    <row r="659" spans="1:2">
      <c r="A659" s="151" t="s">
        <v>1849</v>
      </c>
      <c r="B659" s="151" t="s">
        <v>1850</v>
      </c>
    </row>
    <row r="660" spans="1:2">
      <c r="A660" s="151" t="s">
        <v>1851</v>
      </c>
      <c r="B660" s="151" t="s">
        <v>1852</v>
      </c>
    </row>
    <row r="661" spans="1:2">
      <c r="A661" s="151" t="s">
        <v>1853</v>
      </c>
      <c r="B661" s="151" t="s">
        <v>1854</v>
      </c>
    </row>
    <row r="662" spans="1:2">
      <c r="A662" s="151" t="s">
        <v>1855</v>
      </c>
      <c r="B662" s="151" t="s">
        <v>1856</v>
      </c>
    </row>
    <row r="663" spans="1:2">
      <c r="A663" s="151" t="s">
        <v>1857</v>
      </c>
      <c r="B663" s="151" t="s">
        <v>1858</v>
      </c>
    </row>
    <row r="664" spans="1:2">
      <c r="A664" s="151" t="s">
        <v>1859</v>
      </c>
      <c r="B664" s="151" t="s">
        <v>1860</v>
      </c>
    </row>
    <row r="665" spans="1:2">
      <c r="A665" s="151" t="s">
        <v>1861</v>
      </c>
      <c r="B665" s="151" t="s">
        <v>1862</v>
      </c>
    </row>
    <row r="666" spans="1:2">
      <c r="A666" s="151" t="s">
        <v>1863</v>
      </c>
      <c r="B666" s="151" t="s">
        <v>1864</v>
      </c>
    </row>
    <row r="667" spans="1:2">
      <c r="A667" s="151" t="s">
        <v>1865</v>
      </c>
      <c r="B667" s="151" t="s">
        <v>1866</v>
      </c>
    </row>
    <row r="668" spans="1:2">
      <c r="A668" s="151" t="s">
        <v>1867</v>
      </c>
      <c r="B668" s="151" t="s">
        <v>1868</v>
      </c>
    </row>
    <row r="669" spans="1:2">
      <c r="A669" s="151" t="s">
        <v>1869</v>
      </c>
      <c r="B669" s="151" t="s">
        <v>1870</v>
      </c>
    </row>
    <row r="670" spans="1:2">
      <c r="A670" s="151" t="s">
        <v>1871</v>
      </c>
      <c r="B670" s="151" t="s">
        <v>1872</v>
      </c>
    </row>
    <row r="671" spans="1:2">
      <c r="A671" s="151" t="s">
        <v>1873</v>
      </c>
      <c r="B671" s="151" t="s">
        <v>1874</v>
      </c>
    </row>
    <row r="672" spans="1:2">
      <c r="A672" s="151" t="s">
        <v>1875</v>
      </c>
      <c r="B672" s="151" t="s">
        <v>1876</v>
      </c>
    </row>
    <row r="673" spans="1:2">
      <c r="A673" s="151" t="s">
        <v>1877</v>
      </c>
      <c r="B673" s="151" t="s">
        <v>1878</v>
      </c>
    </row>
    <row r="674" spans="1:2">
      <c r="A674" s="151" t="s">
        <v>1879</v>
      </c>
      <c r="B674" s="151" t="s">
        <v>1880</v>
      </c>
    </row>
    <row r="675" spans="1:2">
      <c r="A675" s="151" t="s">
        <v>1881</v>
      </c>
      <c r="B675" s="151" t="s">
        <v>1882</v>
      </c>
    </row>
    <row r="676" spans="1:2">
      <c r="A676" s="151" t="s">
        <v>1883</v>
      </c>
      <c r="B676" s="151" t="s">
        <v>1884</v>
      </c>
    </row>
    <row r="677" spans="1:2">
      <c r="A677" s="151" t="s">
        <v>1885</v>
      </c>
      <c r="B677" s="151" t="s">
        <v>1886</v>
      </c>
    </row>
    <row r="678" spans="1:2">
      <c r="A678" s="151" t="s">
        <v>1887</v>
      </c>
      <c r="B678" s="151" t="s">
        <v>1888</v>
      </c>
    </row>
    <row r="679" spans="1:2">
      <c r="A679" s="151" t="s">
        <v>1889</v>
      </c>
      <c r="B679" s="151" t="s">
        <v>1890</v>
      </c>
    </row>
    <row r="680" spans="1:2">
      <c r="A680" s="151" t="s">
        <v>1891</v>
      </c>
      <c r="B680" s="151" t="s">
        <v>1892</v>
      </c>
    </row>
    <row r="681" spans="1:2">
      <c r="A681" s="151" t="s">
        <v>1893</v>
      </c>
      <c r="B681" s="151" t="s">
        <v>1894</v>
      </c>
    </row>
    <row r="682" spans="1:2">
      <c r="A682" s="151" t="s">
        <v>1895</v>
      </c>
      <c r="B682" s="151" t="s">
        <v>1896</v>
      </c>
    </row>
    <row r="683" spans="1:2">
      <c r="A683" s="151" t="s">
        <v>1897</v>
      </c>
      <c r="B683" s="151" t="s">
        <v>1898</v>
      </c>
    </row>
    <row r="684" spans="1:2">
      <c r="A684" s="151" t="s">
        <v>1899</v>
      </c>
      <c r="B684" s="151" t="s">
        <v>1900</v>
      </c>
    </row>
    <row r="685" spans="1:2">
      <c r="A685" s="151" t="s">
        <v>1901</v>
      </c>
      <c r="B685" s="151" t="s">
        <v>1902</v>
      </c>
    </row>
    <row r="686" spans="1:2">
      <c r="A686" s="151" t="s">
        <v>1903</v>
      </c>
      <c r="B686" s="151" t="s">
        <v>1904</v>
      </c>
    </row>
    <row r="687" spans="1:2">
      <c r="A687" s="151" t="s">
        <v>1905</v>
      </c>
      <c r="B687" s="151" t="s">
        <v>1906</v>
      </c>
    </row>
    <row r="688" spans="1:2">
      <c r="A688" s="151" t="s">
        <v>1907</v>
      </c>
      <c r="B688" s="151" t="s">
        <v>1908</v>
      </c>
    </row>
    <row r="689" spans="1:2">
      <c r="A689" s="151" t="s">
        <v>1909</v>
      </c>
      <c r="B689" s="151" t="s">
        <v>1910</v>
      </c>
    </row>
    <row r="690" spans="1:2">
      <c r="A690" s="151" t="s">
        <v>1911</v>
      </c>
      <c r="B690" s="151" t="s">
        <v>1912</v>
      </c>
    </row>
    <row r="691" spans="1:2">
      <c r="A691" s="151" t="s">
        <v>1913</v>
      </c>
      <c r="B691" s="151" t="s">
        <v>1914</v>
      </c>
    </row>
    <row r="692" spans="1:2">
      <c r="A692" s="151" t="s">
        <v>1915</v>
      </c>
      <c r="B692" s="151" t="s">
        <v>1916</v>
      </c>
    </row>
    <row r="693" spans="1:2">
      <c r="A693" s="151" t="s">
        <v>1917</v>
      </c>
      <c r="B693" s="151" t="s">
        <v>1918</v>
      </c>
    </row>
    <row r="694" spans="1:2">
      <c r="A694" s="151" t="s">
        <v>1919</v>
      </c>
      <c r="B694" s="151" t="s">
        <v>1920</v>
      </c>
    </row>
    <row r="695" spans="1:2">
      <c r="A695" s="151" t="s">
        <v>1921</v>
      </c>
      <c r="B695" s="151" t="s">
        <v>1922</v>
      </c>
    </row>
    <row r="696" spans="1:2">
      <c r="A696" s="151" t="s">
        <v>1923</v>
      </c>
      <c r="B696" s="151" t="s">
        <v>1924</v>
      </c>
    </row>
    <row r="697" spans="1:2">
      <c r="A697" s="151" t="s">
        <v>1925</v>
      </c>
      <c r="B697" s="151" t="s">
        <v>1926</v>
      </c>
    </row>
    <row r="698" spans="1:2">
      <c r="A698" s="151" t="s">
        <v>1927</v>
      </c>
      <c r="B698" s="151" t="s">
        <v>1928</v>
      </c>
    </row>
    <row r="699" spans="1:2">
      <c r="A699" s="151" t="s">
        <v>1929</v>
      </c>
      <c r="B699" s="151" t="s">
        <v>1930</v>
      </c>
    </row>
    <row r="700" spans="1:2">
      <c r="A700" s="151" t="s">
        <v>1931</v>
      </c>
      <c r="B700" s="151" t="s">
        <v>1932</v>
      </c>
    </row>
    <row r="701" spans="1:2">
      <c r="A701" s="151" t="s">
        <v>1933</v>
      </c>
      <c r="B701" s="151" t="s">
        <v>1934</v>
      </c>
    </row>
    <row r="702" spans="1:2">
      <c r="A702" s="151" t="s">
        <v>1935</v>
      </c>
      <c r="B702" s="151" t="s">
        <v>1936</v>
      </c>
    </row>
    <row r="703" spans="1:2">
      <c r="A703" s="151" t="s">
        <v>1937</v>
      </c>
      <c r="B703" s="151" t="s">
        <v>1938</v>
      </c>
    </row>
    <row r="704" spans="1:2">
      <c r="A704" s="151" t="s">
        <v>1939</v>
      </c>
      <c r="B704" s="151" t="s">
        <v>1940</v>
      </c>
    </row>
    <row r="705" spans="1:2">
      <c r="A705" s="151" t="s">
        <v>1941</v>
      </c>
      <c r="B705" s="151" t="s">
        <v>1942</v>
      </c>
    </row>
    <row r="706" spans="1:2">
      <c r="A706" s="151" t="s">
        <v>1943</v>
      </c>
      <c r="B706" s="151" t="s">
        <v>1944</v>
      </c>
    </row>
    <row r="707" spans="1:2">
      <c r="A707" s="151" t="s">
        <v>1945</v>
      </c>
      <c r="B707" s="151" t="s">
        <v>1946</v>
      </c>
    </row>
    <row r="708" spans="1:2">
      <c r="A708" s="151" t="s">
        <v>1947</v>
      </c>
      <c r="B708" s="151" t="s">
        <v>1948</v>
      </c>
    </row>
    <row r="709" spans="1:2">
      <c r="A709" s="151" t="s">
        <v>1949</v>
      </c>
      <c r="B709" s="151" t="s">
        <v>1950</v>
      </c>
    </row>
    <row r="710" spans="1:2">
      <c r="A710" s="151" t="s">
        <v>1951</v>
      </c>
      <c r="B710" s="151" t="s">
        <v>1952</v>
      </c>
    </row>
    <row r="711" spans="1:2">
      <c r="A711" s="151" t="s">
        <v>1953</v>
      </c>
      <c r="B711" s="151" t="s">
        <v>1954</v>
      </c>
    </row>
    <row r="712" spans="1:2">
      <c r="A712" s="151" t="s">
        <v>1955</v>
      </c>
      <c r="B712" s="151" t="s">
        <v>1956</v>
      </c>
    </row>
    <row r="713" spans="1:2">
      <c r="A713" s="151" t="s">
        <v>1957</v>
      </c>
      <c r="B713" s="151" t="s">
        <v>1958</v>
      </c>
    </row>
    <row r="714" spans="1:2">
      <c r="A714" s="151" t="s">
        <v>1959</v>
      </c>
      <c r="B714" s="151" t="s">
        <v>1960</v>
      </c>
    </row>
    <row r="715" spans="1:2">
      <c r="A715" s="151" t="s">
        <v>1961</v>
      </c>
      <c r="B715" s="151" t="s">
        <v>1962</v>
      </c>
    </row>
    <row r="716" spans="1:2">
      <c r="A716" s="151" t="s">
        <v>1963</v>
      </c>
      <c r="B716" s="151" t="s">
        <v>1964</v>
      </c>
    </row>
    <row r="717" spans="1:2">
      <c r="A717" s="151" t="s">
        <v>1965</v>
      </c>
      <c r="B717" s="151" t="s">
        <v>1966</v>
      </c>
    </row>
    <row r="718" spans="1:2">
      <c r="A718" s="151" t="s">
        <v>1967</v>
      </c>
      <c r="B718" s="151" t="s">
        <v>1968</v>
      </c>
    </row>
    <row r="719" spans="1:2">
      <c r="A719" s="151" t="s">
        <v>1969</v>
      </c>
      <c r="B719" s="151" t="s">
        <v>1970</v>
      </c>
    </row>
    <row r="720" spans="1:2">
      <c r="A720" s="151" t="s">
        <v>1971</v>
      </c>
      <c r="B720" s="151" t="s">
        <v>1972</v>
      </c>
    </row>
    <row r="721" spans="1:2">
      <c r="A721" s="151" t="s">
        <v>1973</v>
      </c>
      <c r="B721" s="151" t="s">
        <v>1974</v>
      </c>
    </row>
    <row r="722" spans="1:2">
      <c r="A722" s="151" t="s">
        <v>1975</v>
      </c>
      <c r="B722" s="151" t="s">
        <v>1976</v>
      </c>
    </row>
    <row r="723" spans="1:2">
      <c r="A723" s="151" t="s">
        <v>1977</v>
      </c>
      <c r="B723" s="151" t="s">
        <v>1978</v>
      </c>
    </row>
    <row r="724" spans="1:2">
      <c r="A724" s="151" t="s">
        <v>1979</v>
      </c>
      <c r="B724" s="151" t="s">
        <v>1980</v>
      </c>
    </row>
    <row r="725" spans="1:2">
      <c r="A725" s="151" t="s">
        <v>1981</v>
      </c>
      <c r="B725" s="151" t="s">
        <v>1982</v>
      </c>
    </row>
    <row r="726" spans="1:2">
      <c r="A726" s="151" t="s">
        <v>1983</v>
      </c>
      <c r="B726" s="151" t="s">
        <v>1984</v>
      </c>
    </row>
    <row r="727" spans="1:2">
      <c r="A727" s="151" t="s">
        <v>1985</v>
      </c>
      <c r="B727" s="151" t="s">
        <v>1986</v>
      </c>
    </row>
    <row r="728" spans="1:2">
      <c r="A728" s="151" t="s">
        <v>1987</v>
      </c>
      <c r="B728" s="151" t="s">
        <v>1988</v>
      </c>
    </row>
    <row r="729" spans="1:2">
      <c r="A729" s="151" t="s">
        <v>1989</v>
      </c>
      <c r="B729" s="151" t="s">
        <v>1990</v>
      </c>
    </row>
    <row r="730" spans="1:2">
      <c r="A730" s="151" t="s">
        <v>1991</v>
      </c>
      <c r="B730" s="151" t="s">
        <v>1992</v>
      </c>
    </row>
    <row r="731" spans="1:2">
      <c r="A731" s="151" t="s">
        <v>1993</v>
      </c>
      <c r="B731" s="151" t="s">
        <v>1994</v>
      </c>
    </row>
    <row r="732" spans="1:2">
      <c r="A732" s="151" t="s">
        <v>1995</v>
      </c>
      <c r="B732" s="151" t="s">
        <v>1996</v>
      </c>
    </row>
    <row r="733" spans="1:2">
      <c r="A733" s="151" t="s">
        <v>1997</v>
      </c>
      <c r="B733" s="151" t="s">
        <v>1998</v>
      </c>
    </row>
    <row r="734" spans="1:2">
      <c r="A734" s="151" t="s">
        <v>1999</v>
      </c>
      <c r="B734" s="151" t="s">
        <v>2000</v>
      </c>
    </row>
    <row r="735" spans="1:2">
      <c r="A735" s="151" t="s">
        <v>2001</v>
      </c>
      <c r="B735" s="151" t="s">
        <v>2002</v>
      </c>
    </row>
    <row r="736" spans="1:2">
      <c r="A736" s="151" t="s">
        <v>2003</v>
      </c>
      <c r="B736" s="151" t="s">
        <v>2004</v>
      </c>
    </row>
    <row r="737" spans="1:2">
      <c r="A737" s="151" t="s">
        <v>2005</v>
      </c>
      <c r="B737" s="151" t="s">
        <v>2006</v>
      </c>
    </row>
    <row r="738" spans="1:2">
      <c r="A738" s="151" t="s">
        <v>2007</v>
      </c>
      <c r="B738" s="151" t="s">
        <v>2008</v>
      </c>
    </row>
    <row r="739" spans="1:2">
      <c r="A739" s="151" t="s">
        <v>2009</v>
      </c>
      <c r="B739" s="151" t="s">
        <v>2010</v>
      </c>
    </row>
    <row r="740" spans="1:2">
      <c r="A740" s="151" t="s">
        <v>2011</v>
      </c>
      <c r="B740" s="151" t="s">
        <v>2012</v>
      </c>
    </row>
    <row r="741" spans="1:2">
      <c r="A741" s="151" t="s">
        <v>2013</v>
      </c>
      <c r="B741" s="151" t="s">
        <v>2014</v>
      </c>
    </row>
    <row r="742" spans="1:2">
      <c r="A742" s="151" t="s">
        <v>2015</v>
      </c>
      <c r="B742" s="151" t="s">
        <v>2016</v>
      </c>
    </row>
    <row r="743" spans="1:2">
      <c r="A743" s="151" t="s">
        <v>2017</v>
      </c>
      <c r="B743" s="151" t="s">
        <v>2018</v>
      </c>
    </row>
    <row r="744" spans="1:2">
      <c r="A744" s="151" t="s">
        <v>2019</v>
      </c>
      <c r="B744" s="151" t="s">
        <v>2020</v>
      </c>
    </row>
    <row r="745" spans="1:2">
      <c r="A745" s="151" t="s">
        <v>2021</v>
      </c>
      <c r="B745" s="151" t="s">
        <v>2022</v>
      </c>
    </row>
    <row r="746" spans="1:2">
      <c r="A746" s="151" t="s">
        <v>2023</v>
      </c>
      <c r="B746" s="151" t="s">
        <v>2024</v>
      </c>
    </row>
    <row r="747" spans="1:2">
      <c r="A747" s="151" t="s">
        <v>2025</v>
      </c>
      <c r="B747" s="151" t="s">
        <v>2026</v>
      </c>
    </row>
    <row r="748" spans="1:2">
      <c r="A748" s="151" t="s">
        <v>2027</v>
      </c>
      <c r="B748" s="151" t="s">
        <v>2028</v>
      </c>
    </row>
    <row r="749" spans="1:2">
      <c r="A749" s="151" t="s">
        <v>2029</v>
      </c>
      <c r="B749" s="151" t="s">
        <v>2030</v>
      </c>
    </row>
    <row r="750" spans="1:2">
      <c r="A750" s="151" t="s">
        <v>2031</v>
      </c>
      <c r="B750" s="151" t="s">
        <v>2032</v>
      </c>
    </row>
    <row r="751" spans="1:2">
      <c r="A751" s="151" t="s">
        <v>2033</v>
      </c>
      <c r="B751" s="151" t="s">
        <v>2034</v>
      </c>
    </row>
    <row r="752" spans="1:2">
      <c r="A752" s="151" t="s">
        <v>2035</v>
      </c>
      <c r="B752" s="151" t="s">
        <v>2036</v>
      </c>
    </row>
    <row r="753" spans="1:2">
      <c r="A753" s="151" t="s">
        <v>2037</v>
      </c>
      <c r="B753" s="151" t="s">
        <v>2038</v>
      </c>
    </row>
    <row r="754" spans="1:2">
      <c r="A754" s="151" t="s">
        <v>2039</v>
      </c>
      <c r="B754" s="151" t="s">
        <v>2040</v>
      </c>
    </row>
    <row r="755" spans="1:2">
      <c r="A755" s="151" t="s">
        <v>2041</v>
      </c>
      <c r="B755" s="151" t="s">
        <v>2042</v>
      </c>
    </row>
    <row r="756" spans="1:2">
      <c r="A756" s="151" t="s">
        <v>2043</v>
      </c>
      <c r="B756" s="151" t="s">
        <v>2044</v>
      </c>
    </row>
    <row r="757" spans="1:2">
      <c r="A757" s="151" t="s">
        <v>2045</v>
      </c>
      <c r="B757" s="151" t="s">
        <v>2046</v>
      </c>
    </row>
    <row r="758" spans="1:2">
      <c r="A758" s="151" t="s">
        <v>2047</v>
      </c>
      <c r="B758" s="151" t="s">
        <v>2048</v>
      </c>
    </row>
    <row r="759" spans="1:2">
      <c r="A759" s="151" t="s">
        <v>2049</v>
      </c>
      <c r="B759" s="151" t="s">
        <v>2050</v>
      </c>
    </row>
    <row r="760" spans="1:2">
      <c r="A760" s="151" t="s">
        <v>2051</v>
      </c>
      <c r="B760" s="151" t="s">
        <v>2052</v>
      </c>
    </row>
    <row r="761" spans="1:2">
      <c r="A761" s="151" t="s">
        <v>2053</v>
      </c>
      <c r="B761" s="151" t="s">
        <v>2054</v>
      </c>
    </row>
    <row r="762" spans="1:2">
      <c r="A762" s="151" t="s">
        <v>2055</v>
      </c>
      <c r="B762" s="151" t="s">
        <v>2056</v>
      </c>
    </row>
    <row r="763" spans="1:2">
      <c r="A763" s="151" t="s">
        <v>2057</v>
      </c>
      <c r="B763" s="151" t="s">
        <v>2058</v>
      </c>
    </row>
    <row r="764" spans="1:2">
      <c r="A764" s="151" t="s">
        <v>2059</v>
      </c>
      <c r="B764" s="151" t="s">
        <v>2060</v>
      </c>
    </row>
    <row r="765" spans="1:2">
      <c r="A765" s="151" t="s">
        <v>2061</v>
      </c>
      <c r="B765" s="151" t="s">
        <v>2062</v>
      </c>
    </row>
    <row r="766" spans="1:2">
      <c r="A766" s="151" t="s">
        <v>2063</v>
      </c>
      <c r="B766" s="151" t="s">
        <v>2064</v>
      </c>
    </row>
    <row r="767" spans="1:2">
      <c r="A767" s="151" t="s">
        <v>2065</v>
      </c>
      <c r="B767" s="151" t="s">
        <v>2066</v>
      </c>
    </row>
    <row r="768" spans="1:2">
      <c r="A768" s="151" t="s">
        <v>2067</v>
      </c>
      <c r="B768" s="151" t="s">
        <v>2068</v>
      </c>
    </row>
    <row r="769" spans="1:2">
      <c r="A769" s="151" t="s">
        <v>2069</v>
      </c>
      <c r="B769" s="151" t="s">
        <v>2070</v>
      </c>
    </row>
    <row r="770" spans="1:2">
      <c r="A770" s="151" t="s">
        <v>2071</v>
      </c>
      <c r="B770" s="151" t="s">
        <v>2072</v>
      </c>
    </row>
    <row r="771" spans="1:2">
      <c r="A771" s="151" t="s">
        <v>2073</v>
      </c>
      <c r="B771" s="151" t="s">
        <v>2074</v>
      </c>
    </row>
    <row r="772" spans="1:2">
      <c r="A772" s="151" t="s">
        <v>2075</v>
      </c>
      <c r="B772" s="151" t="s">
        <v>2076</v>
      </c>
    </row>
    <row r="773" spans="1:2">
      <c r="A773" s="151" t="s">
        <v>2077</v>
      </c>
      <c r="B773" s="151" t="s">
        <v>2078</v>
      </c>
    </row>
    <row r="774" spans="1:2">
      <c r="A774" s="151" t="s">
        <v>2079</v>
      </c>
      <c r="B774" s="151" t="s">
        <v>2080</v>
      </c>
    </row>
    <row r="775" spans="1:2">
      <c r="A775" s="151" t="s">
        <v>2081</v>
      </c>
      <c r="B775" s="151" t="s">
        <v>2082</v>
      </c>
    </row>
    <row r="776" spans="1:2">
      <c r="A776" s="151" t="s">
        <v>2083</v>
      </c>
      <c r="B776" s="151" t="s">
        <v>2084</v>
      </c>
    </row>
    <row r="777" spans="1:2">
      <c r="A777" s="151" t="s">
        <v>2085</v>
      </c>
      <c r="B777" s="151" t="s">
        <v>2086</v>
      </c>
    </row>
    <row r="778" spans="1:2">
      <c r="A778" s="151" t="s">
        <v>2087</v>
      </c>
      <c r="B778" s="151" t="s">
        <v>2088</v>
      </c>
    </row>
    <row r="779" spans="1:2">
      <c r="A779" s="151" t="s">
        <v>2089</v>
      </c>
      <c r="B779" s="151" t="s">
        <v>2090</v>
      </c>
    </row>
    <row r="780" spans="1:2">
      <c r="A780" s="151" t="s">
        <v>2091</v>
      </c>
      <c r="B780" s="151" t="s">
        <v>2092</v>
      </c>
    </row>
    <row r="781" spans="1:2">
      <c r="A781" s="151" t="s">
        <v>2093</v>
      </c>
      <c r="B781" s="151" t="s">
        <v>2094</v>
      </c>
    </row>
    <row r="782" spans="1:2">
      <c r="A782" s="151" t="s">
        <v>2095</v>
      </c>
      <c r="B782" s="151" t="s">
        <v>2096</v>
      </c>
    </row>
    <row r="783" spans="1:2">
      <c r="A783" s="151" t="s">
        <v>2097</v>
      </c>
      <c r="B783" s="151" t="s">
        <v>2098</v>
      </c>
    </row>
    <row r="784" spans="1:2">
      <c r="A784" s="151" t="s">
        <v>2099</v>
      </c>
      <c r="B784" s="151" t="s">
        <v>2100</v>
      </c>
    </row>
    <row r="785" spans="1:2">
      <c r="A785" s="151" t="s">
        <v>2101</v>
      </c>
      <c r="B785" s="151" t="s">
        <v>2102</v>
      </c>
    </row>
    <row r="786" spans="1:2">
      <c r="A786" s="151" t="s">
        <v>2103</v>
      </c>
      <c r="B786" s="151" t="s">
        <v>2104</v>
      </c>
    </row>
    <row r="787" spans="1:2">
      <c r="A787" s="151" t="s">
        <v>2105</v>
      </c>
      <c r="B787" s="151" t="s">
        <v>2106</v>
      </c>
    </row>
    <row r="788" spans="1:2">
      <c r="A788" s="151" t="s">
        <v>2107</v>
      </c>
      <c r="B788" s="151" t="s">
        <v>2108</v>
      </c>
    </row>
    <row r="789" spans="1:2">
      <c r="A789" s="151" t="s">
        <v>2109</v>
      </c>
      <c r="B789" s="151" t="s">
        <v>2110</v>
      </c>
    </row>
    <row r="790" spans="1:2">
      <c r="A790" s="151" t="s">
        <v>2111</v>
      </c>
      <c r="B790" s="151" t="s">
        <v>2112</v>
      </c>
    </row>
    <row r="791" spans="1:2">
      <c r="A791" s="151" t="s">
        <v>2113</v>
      </c>
      <c r="B791" s="151" t="s">
        <v>2114</v>
      </c>
    </row>
    <row r="792" spans="1:2">
      <c r="A792" s="151" t="s">
        <v>2115</v>
      </c>
      <c r="B792" s="151" t="s">
        <v>2116</v>
      </c>
    </row>
    <row r="793" spans="1:2">
      <c r="A793" s="151" t="s">
        <v>2117</v>
      </c>
      <c r="B793" s="151" t="s">
        <v>2118</v>
      </c>
    </row>
    <row r="794" spans="1:2">
      <c r="A794" s="151" t="s">
        <v>2119</v>
      </c>
      <c r="B794" s="151" t="s">
        <v>2120</v>
      </c>
    </row>
    <row r="795" spans="1:2">
      <c r="A795" s="151" t="s">
        <v>2121</v>
      </c>
      <c r="B795" s="151" t="s">
        <v>2122</v>
      </c>
    </row>
    <row r="796" spans="1:2">
      <c r="A796" s="151" t="s">
        <v>2123</v>
      </c>
      <c r="B796" s="151" t="s">
        <v>2124</v>
      </c>
    </row>
    <row r="797" spans="1:2">
      <c r="A797" s="151" t="s">
        <v>2125</v>
      </c>
      <c r="B797" s="151" t="s">
        <v>2126</v>
      </c>
    </row>
    <row r="798" spans="1:2">
      <c r="A798" s="151" t="s">
        <v>2127</v>
      </c>
      <c r="B798" s="151" t="s">
        <v>2128</v>
      </c>
    </row>
    <row r="799" spans="1:2">
      <c r="A799" s="151" t="s">
        <v>2129</v>
      </c>
      <c r="B799" s="151" t="s">
        <v>2130</v>
      </c>
    </row>
    <row r="800" spans="1:2">
      <c r="A800" s="151" t="s">
        <v>2131</v>
      </c>
      <c r="B800" s="151" t="s">
        <v>2132</v>
      </c>
    </row>
    <row r="801" spans="1:2">
      <c r="A801" s="151" t="s">
        <v>2133</v>
      </c>
      <c r="B801" s="151" t="s">
        <v>2134</v>
      </c>
    </row>
    <row r="802" spans="1:2">
      <c r="A802" s="151" t="s">
        <v>2135</v>
      </c>
      <c r="B802" s="151" t="s">
        <v>2136</v>
      </c>
    </row>
    <row r="803" spans="1:2">
      <c r="A803" s="151" t="s">
        <v>2137</v>
      </c>
      <c r="B803" s="151" t="s">
        <v>2138</v>
      </c>
    </row>
    <row r="804" spans="1:2">
      <c r="A804" s="151" t="s">
        <v>2139</v>
      </c>
      <c r="B804" s="151" t="s">
        <v>2140</v>
      </c>
    </row>
    <row r="805" spans="1:2">
      <c r="A805" s="151" t="s">
        <v>2141</v>
      </c>
      <c r="B805" s="151" t="s">
        <v>2142</v>
      </c>
    </row>
    <row r="806" spans="1:2">
      <c r="A806" s="151" t="s">
        <v>2143</v>
      </c>
      <c r="B806" s="151" t="s">
        <v>2144</v>
      </c>
    </row>
    <row r="807" spans="1:2">
      <c r="A807" s="151" t="s">
        <v>2145</v>
      </c>
      <c r="B807" s="151" t="s">
        <v>2146</v>
      </c>
    </row>
    <row r="808" spans="1:2">
      <c r="A808" s="151" t="s">
        <v>2147</v>
      </c>
      <c r="B808" s="151" t="s">
        <v>2148</v>
      </c>
    </row>
    <row r="809" spans="1:2">
      <c r="A809" s="151" t="s">
        <v>2149</v>
      </c>
      <c r="B809" s="151" t="s">
        <v>2150</v>
      </c>
    </row>
    <row r="810" spans="1:2">
      <c r="A810" s="151" t="s">
        <v>2151</v>
      </c>
      <c r="B810" s="151" t="s">
        <v>2152</v>
      </c>
    </row>
    <row r="811" spans="1:2">
      <c r="A811" s="151" t="s">
        <v>2153</v>
      </c>
      <c r="B811" s="151" t="s">
        <v>2154</v>
      </c>
    </row>
    <row r="812" spans="1:2">
      <c r="A812" s="151" t="s">
        <v>2155</v>
      </c>
      <c r="B812" s="151" t="s">
        <v>2156</v>
      </c>
    </row>
    <row r="813" spans="1:2">
      <c r="A813" s="151" t="s">
        <v>2157</v>
      </c>
      <c r="B813" s="151" t="s">
        <v>2158</v>
      </c>
    </row>
    <row r="814" spans="1:2">
      <c r="A814" s="151" t="s">
        <v>2159</v>
      </c>
      <c r="B814" s="151" t="s">
        <v>2160</v>
      </c>
    </row>
    <row r="815" spans="1:2">
      <c r="A815" s="151" t="s">
        <v>2161</v>
      </c>
      <c r="B815" s="151" t="s">
        <v>2162</v>
      </c>
    </row>
    <row r="816" spans="1:2">
      <c r="A816" s="151" t="s">
        <v>2163</v>
      </c>
      <c r="B816" s="151" t="s">
        <v>2164</v>
      </c>
    </row>
    <row r="817" spans="1:2">
      <c r="A817" s="151" t="s">
        <v>2165</v>
      </c>
      <c r="B817" s="151" t="s">
        <v>2166</v>
      </c>
    </row>
    <row r="818" spans="1:2">
      <c r="A818" s="151" t="s">
        <v>2167</v>
      </c>
      <c r="B818" s="151" t="s">
        <v>2168</v>
      </c>
    </row>
    <row r="819" spans="1:2">
      <c r="A819" s="151" t="s">
        <v>2169</v>
      </c>
      <c r="B819" s="151" t="s">
        <v>2170</v>
      </c>
    </row>
    <row r="820" spans="1:2">
      <c r="A820" s="151" t="s">
        <v>2171</v>
      </c>
      <c r="B820" s="151" t="s">
        <v>2172</v>
      </c>
    </row>
    <row r="821" spans="1:2">
      <c r="A821" s="151" t="s">
        <v>2173</v>
      </c>
      <c r="B821" s="151" t="s">
        <v>2174</v>
      </c>
    </row>
    <row r="822" spans="1:2">
      <c r="A822" s="151" t="s">
        <v>2175</v>
      </c>
      <c r="B822" s="151" t="s">
        <v>2176</v>
      </c>
    </row>
    <row r="823" spans="1:2">
      <c r="A823" s="151" t="s">
        <v>2177</v>
      </c>
      <c r="B823" s="151" t="s">
        <v>2178</v>
      </c>
    </row>
    <row r="824" spans="1:2">
      <c r="A824" s="151" t="s">
        <v>2179</v>
      </c>
      <c r="B824" s="151" t="s">
        <v>2180</v>
      </c>
    </row>
    <row r="825" spans="1:2">
      <c r="A825" s="151" t="s">
        <v>2181</v>
      </c>
      <c r="B825" s="151" t="s">
        <v>2182</v>
      </c>
    </row>
    <row r="826" spans="1:2">
      <c r="A826" s="151" t="s">
        <v>2183</v>
      </c>
      <c r="B826" s="151" t="s">
        <v>2184</v>
      </c>
    </row>
    <row r="827" spans="1:2">
      <c r="A827" s="151" t="s">
        <v>2185</v>
      </c>
      <c r="B827" s="151" t="s">
        <v>2186</v>
      </c>
    </row>
    <row r="828" spans="1:2">
      <c r="A828" s="151" t="s">
        <v>2187</v>
      </c>
      <c r="B828" s="151" t="s">
        <v>2188</v>
      </c>
    </row>
    <row r="829" spans="1:2">
      <c r="A829" s="151" t="s">
        <v>2189</v>
      </c>
      <c r="B829" s="151" t="s">
        <v>2190</v>
      </c>
    </row>
    <row r="830" spans="1:2">
      <c r="A830" s="151" t="s">
        <v>2191</v>
      </c>
      <c r="B830" s="151" t="s">
        <v>2192</v>
      </c>
    </row>
    <row r="831" spans="1:2">
      <c r="A831" s="151" t="s">
        <v>2193</v>
      </c>
      <c r="B831" s="151" t="s">
        <v>2194</v>
      </c>
    </row>
    <row r="832" spans="1:2">
      <c r="A832" s="151" t="s">
        <v>2195</v>
      </c>
      <c r="B832" s="151" t="s">
        <v>2196</v>
      </c>
    </row>
    <row r="833" spans="1:2">
      <c r="A833" s="151" t="s">
        <v>2197</v>
      </c>
      <c r="B833" s="151" t="s">
        <v>2198</v>
      </c>
    </row>
    <row r="834" spans="1:2">
      <c r="A834" s="151" t="s">
        <v>2199</v>
      </c>
      <c r="B834" s="151" t="s">
        <v>2200</v>
      </c>
    </row>
    <row r="835" spans="1:2">
      <c r="A835" s="151" t="s">
        <v>2201</v>
      </c>
      <c r="B835" s="151" t="s">
        <v>2202</v>
      </c>
    </row>
    <row r="836" spans="1:2">
      <c r="A836" s="151" t="s">
        <v>2203</v>
      </c>
      <c r="B836" s="151" t="s">
        <v>2204</v>
      </c>
    </row>
    <row r="837" spans="1:2">
      <c r="A837" s="151" t="s">
        <v>2205</v>
      </c>
      <c r="B837" s="151" t="s">
        <v>2206</v>
      </c>
    </row>
    <row r="838" spans="1:2">
      <c r="A838" s="151" t="s">
        <v>2207</v>
      </c>
      <c r="B838" s="151" t="s">
        <v>2208</v>
      </c>
    </row>
    <row r="839" spans="1:2">
      <c r="A839" s="151" t="s">
        <v>2209</v>
      </c>
      <c r="B839" s="151" t="s">
        <v>2210</v>
      </c>
    </row>
    <row r="840" spans="1:2">
      <c r="A840" s="151" t="s">
        <v>2211</v>
      </c>
      <c r="B840" s="151" t="s">
        <v>2212</v>
      </c>
    </row>
    <row r="841" spans="1:2">
      <c r="A841" s="151" t="s">
        <v>2213</v>
      </c>
      <c r="B841" s="151" t="s">
        <v>2214</v>
      </c>
    </row>
    <row r="842" spans="1:2">
      <c r="A842" s="151" t="s">
        <v>2215</v>
      </c>
      <c r="B842" s="151" t="s">
        <v>2216</v>
      </c>
    </row>
    <row r="843" spans="1:2">
      <c r="A843" s="151" t="s">
        <v>156</v>
      </c>
      <c r="B843" s="151" t="s">
        <v>2217</v>
      </c>
    </row>
    <row r="844" spans="1:2">
      <c r="A844" s="151" t="s">
        <v>2218</v>
      </c>
      <c r="B844" s="151" t="s">
        <v>2219</v>
      </c>
    </row>
    <row r="845" spans="1:2">
      <c r="A845" s="151" t="s">
        <v>2220</v>
      </c>
      <c r="B845" s="151" t="s">
        <v>2221</v>
      </c>
    </row>
    <row r="846" spans="1:2">
      <c r="A846" s="151" t="s">
        <v>2222</v>
      </c>
      <c r="B846" s="151" t="s">
        <v>2223</v>
      </c>
    </row>
    <row r="847" spans="1:2">
      <c r="A847" s="151" t="s">
        <v>2224</v>
      </c>
      <c r="B847" s="151" t="s">
        <v>2225</v>
      </c>
    </row>
    <row r="848" spans="1:2">
      <c r="A848" s="151" t="s">
        <v>2226</v>
      </c>
      <c r="B848" s="151" t="s">
        <v>2227</v>
      </c>
    </row>
    <row r="849" spans="1:2">
      <c r="A849" s="151" t="s">
        <v>2228</v>
      </c>
      <c r="B849" s="151" t="s">
        <v>2229</v>
      </c>
    </row>
    <row r="850" spans="1:2">
      <c r="A850" s="151" t="s">
        <v>2230</v>
      </c>
      <c r="B850" s="151" t="s">
        <v>2231</v>
      </c>
    </row>
    <row r="851" spans="1:2">
      <c r="A851" s="151" t="s">
        <v>2232</v>
      </c>
      <c r="B851" s="151" t="s">
        <v>2233</v>
      </c>
    </row>
    <row r="852" spans="1:2">
      <c r="A852" s="151" t="s">
        <v>2234</v>
      </c>
      <c r="B852" s="151" t="s">
        <v>2235</v>
      </c>
    </row>
    <row r="853" spans="1:2">
      <c r="A853" s="151" t="s">
        <v>2236</v>
      </c>
      <c r="B853" s="151" t="s">
        <v>2237</v>
      </c>
    </row>
    <row r="854" spans="1:2">
      <c r="A854" s="151" t="s">
        <v>2238</v>
      </c>
      <c r="B854" s="151" t="s">
        <v>2239</v>
      </c>
    </row>
    <row r="855" spans="1:2">
      <c r="A855" s="151" t="s">
        <v>2240</v>
      </c>
      <c r="B855" s="151" t="s">
        <v>2241</v>
      </c>
    </row>
    <row r="856" spans="1:2">
      <c r="A856" s="151" t="s">
        <v>2242</v>
      </c>
      <c r="B856" s="151" t="s">
        <v>2243</v>
      </c>
    </row>
    <row r="857" spans="1:2">
      <c r="A857" s="151" t="s">
        <v>2244</v>
      </c>
      <c r="B857" s="151" t="s">
        <v>2245</v>
      </c>
    </row>
    <row r="858" spans="1:2">
      <c r="A858" s="151" t="s">
        <v>2246</v>
      </c>
      <c r="B858" s="151" t="s">
        <v>2247</v>
      </c>
    </row>
    <row r="859" spans="1:2">
      <c r="A859" s="151" t="s">
        <v>2248</v>
      </c>
      <c r="B859" s="151" t="s">
        <v>2249</v>
      </c>
    </row>
    <row r="860" spans="1:2">
      <c r="A860" s="151" t="s">
        <v>2250</v>
      </c>
      <c r="B860" s="151" t="s">
        <v>2251</v>
      </c>
    </row>
    <row r="861" spans="1:2">
      <c r="A861" s="151" t="s">
        <v>2252</v>
      </c>
      <c r="B861" s="151" t="s">
        <v>2253</v>
      </c>
    </row>
    <row r="862" spans="1:2">
      <c r="A862" s="151" t="s">
        <v>2254</v>
      </c>
      <c r="B862" s="151" t="s">
        <v>2255</v>
      </c>
    </row>
    <row r="863" spans="1:2">
      <c r="A863" s="151" t="s">
        <v>2256</v>
      </c>
      <c r="B863" s="151" t="s">
        <v>2257</v>
      </c>
    </row>
    <row r="864" spans="1:2">
      <c r="A864" s="151" t="s">
        <v>2258</v>
      </c>
      <c r="B864" s="151" t="s">
        <v>2259</v>
      </c>
    </row>
    <row r="865" spans="1:2">
      <c r="A865" s="151" t="s">
        <v>2260</v>
      </c>
      <c r="B865" s="151" t="s">
        <v>2261</v>
      </c>
    </row>
    <row r="866" spans="1:2">
      <c r="A866" s="151" t="s">
        <v>2262</v>
      </c>
      <c r="B866" s="151" t="s">
        <v>2263</v>
      </c>
    </row>
    <row r="867" spans="1:2">
      <c r="A867" s="151" t="s">
        <v>2264</v>
      </c>
      <c r="B867" s="151" t="s">
        <v>2265</v>
      </c>
    </row>
    <row r="868" spans="1:2">
      <c r="A868" s="151" t="s">
        <v>2266</v>
      </c>
      <c r="B868" s="151" t="s">
        <v>2267</v>
      </c>
    </row>
    <row r="869" spans="1:2">
      <c r="A869" s="151" t="s">
        <v>2268</v>
      </c>
      <c r="B869" s="151" t="s">
        <v>2269</v>
      </c>
    </row>
    <row r="870" spans="1:2">
      <c r="A870" s="151" t="s">
        <v>2270</v>
      </c>
      <c r="B870" s="151" t="s">
        <v>2271</v>
      </c>
    </row>
    <row r="871" spans="1:2">
      <c r="A871" s="151" t="s">
        <v>2272</v>
      </c>
      <c r="B871" s="151" t="s">
        <v>2273</v>
      </c>
    </row>
    <row r="872" spans="1:2">
      <c r="A872" s="151" t="s">
        <v>2274</v>
      </c>
      <c r="B872" s="151" t="s">
        <v>365</v>
      </c>
    </row>
    <row r="873" spans="1:2">
      <c r="A873" s="151" t="s">
        <v>2275</v>
      </c>
      <c r="B873" s="151" t="s">
        <v>2276</v>
      </c>
    </row>
    <row r="874" spans="1:2">
      <c r="A874" s="151" t="s">
        <v>2277</v>
      </c>
      <c r="B874" s="151" t="s">
        <v>2278</v>
      </c>
    </row>
    <row r="875" spans="1:2">
      <c r="A875" s="151" t="s">
        <v>2279</v>
      </c>
      <c r="B875" s="151" t="s">
        <v>2280</v>
      </c>
    </row>
    <row r="876" spans="1:2">
      <c r="A876" s="151" t="s">
        <v>2281</v>
      </c>
      <c r="B876" s="151" t="s">
        <v>2282</v>
      </c>
    </row>
    <row r="877" spans="1:2">
      <c r="A877" s="151" t="s">
        <v>2283</v>
      </c>
      <c r="B877" s="151" t="s">
        <v>2284</v>
      </c>
    </row>
    <row r="878" spans="1:2">
      <c r="A878" s="151" t="s">
        <v>2285</v>
      </c>
      <c r="B878" s="151" t="s">
        <v>2286</v>
      </c>
    </row>
    <row r="879" spans="1:2">
      <c r="A879" s="151" t="s">
        <v>2287</v>
      </c>
      <c r="B879" s="151" t="s">
        <v>2288</v>
      </c>
    </row>
    <row r="880" spans="1:2">
      <c r="A880" s="151" t="s">
        <v>2289</v>
      </c>
      <c r="B880" s="151" t="s">
        <v>2290</v>
      </c>
    </row>
    <row r="881" spans="1:2">
      <c r="A881" s="151" t="s">
        <v>2291</v>
      </c>
      <c r="B881" s="151" t="s">
        <v>2292</v>
      </c>
    </row>
    <row r="882" spans="1:2">
      <c r="A882" s="151" t="s">
        <v>2293</v>
      </c>
      <c r="B882" s="151" t="s">
        <v>2294</v>
      </c>
    </row>
    <row r="883" spans="1:2">
      <c r="A883" s="151" t="s">
        <v>2295</v>
      </c>
      <c r="B883" s="151" t="s">
        <v>2296</v>
      </c>
    </row>
    <row r="884" spans="1:2">
      <c r="A884" s="151" t="s">
        <v>2297</v>
      </c>
      <c r="B884" s="151" t="s">
        <v>2298</v>
      </c>
    </row>
    <row r="885" spans="1:2">
      <c r="A885" s="151" t="s">
        <v>2299</v>
      </c>
      <c r="B885" s="151" t="s">
        <v>2300</v>
      </c>
    </row>
    <row r="886" spans="1:2">
      <c r="A886" s="151" t="s">
        <v>2301</v>
      </c>
      <c r="B886" s="151" t="s">
        <v>2302</v>
      </c>
    </row>
    <row r="887" spans="1:2">
      <c r="A887" s="151" t="s">
        <v>2303</v>
      </c>
      <c r="B887" s="151" t="s">
        <v>2304</v>
      </c>
    </row>
    <row r="888" spans="1:2">
      <c r="A888" s="151" t="s">
        <v>2305</v>
      </c>
      <c r="B888" s="151" t="s">
        <v>2306</v>
      </c>
    </row>
    <row r="889" spans="1:2">
      <c r="A889" s="151" t="s">
        <v>2307</v>
      </c>
      <c r="B889" s="151" t="s">
        <v>2308</v>
      </c>
    </row>
    <row r="890" spans="1:2">
      <c r="A890" s="151" t="s">
        <v>2309</v>
      </c>
      <c r="B890" s="151" t="s">
        <v>2310</v>
      </c>
    </row>
    <row r="891" spans="1:2">
      <c r="A891" s="151" t="s">
        <v>2311</v>
      </c>
      <c r="B891" s="151" t="s">
        <v>2312</v>
      </c>
    </row>
    <row r="892" spans="1:2">
      <c r="A892" s="151" t="s">
        <v>2313</v>
      </c>
      <c r="B892" s="151" t="s">
        <v>2314</v>
      </c>
    </row>
    <row r="893" spans="1:2">
      <c r="A893" s="151" t="s">
        <v>2315</v>
      </c>
      <c r="B893" s="151" t="s">
        <v>2316</v>
      </c>
    </row>
    <row r="894" spans="1:2">
      <c r="A894" s="151" t="s">
        <v>2317</v>
      </c>
      <c r="B894" s="151" t="s">
        <v>2318</v>
      </c>
    </row>
    <row r="895" spans="1:2">
      <c r="A895" s="151" t="s">
        <v>2319</v>
      </c>
      <c r="B895" s="151" t="s">
        <v>2320</v>
      </c>
    </row>
    <row r="896" spans="1:2">
      <c r="A896" s="151" t="s">
        <v>2321</v>
      </c>
      <c r="B896" s="151" t="s">
        <v>2322</v>
      </c>
    </row>
    <row r="897" spans="1:2">
      <c r="A897" s="151" t="s">
        <v>2323</v>
      </c>
      <c r="B897" s="151" t="s">
        <v>2324</v>
      </c>
    </row>
    <row r="898" spans="1:2">
      <c r="A898" s="151" t="s">
        <v>2325</v>
      </c>
      <c r="B898" s="151" t="s">
        <v>2326</v>
      </c>
    </row>
    <row r="899" spans="1:2">
      <c r="A899" s="151" t="s">
        <v>2327</v>
      </c>
      <c r="B899" s="151" t="s">
        <v>2328</v>
      </c>
    </row>
    <row r="900" spans="1:2">
      <c r="A900" s="151" t="s">
        <v>2329</v>
      </c>
      <c r="B900" s="151" t="s">
        <v>2330</v>
      </c>
    </row>
    <row r="901" spans="1:2">
      <c r="A901" s="151" t="s">
        <v>2331</v>
      </c>
      <c r="B901" s="151" t="s">
        <v>2332</v>
      </c>
    </row>
    <row r="902" spans="1:2">
      <c r="A902" s="151" t="s">
        <v>2333</v>
      </c>
      <c r="B902" s="151" t="s">
        <v>2334</v>
      </c>
    </row>
    <row r="903" spans="1:2">
      <c r="A903" s="151" t="s">
        <v>2335</v>
      </c>
      <c r="B903" s="151" t="s">
        <v>2336</v>
      </c>
    </row>
    <row r="904" spans="1:2">
      <c r="A904" s="151" t="s">
        <v>2337</v>
      </c>
      <c r="B904" s="151" t="s">
        <v>2338</v>
      </c>
    </row>
    <row r="905" spans="1:2">
      <c r="A905" s="151" t="s">
        <v>2339</v>
      </c>
      <c r="B905" s="151" t="s">
        <v>2340</v>
      </c>
    </row>
    <row r="906" spans="1:2">
      <c r="A906" s="151" t="s">
        <v>2341</v>
      </c>
      <c r="B906" s="151" t="s">
        <v>2342</v>
      </c>
    </row>
    <row r="907" spans="1:2">
      <c r="A907" s="151" t="s">
        <v>2343</v>
      </c>
      <c r="B907" s="151" t="s">
        <v>2344</v>
      </c>
    </row>
    <row r="908" spans="1:2">
      <c r="A908" s="151" t="s">
        <v>2345</v>
      </c>
      <c r="B908" s="151" t="s">
        <v>2346</v>
      </c>
    </row>
    <row r="909" spans="1:2">
      <c r="A909" s="151" t="s">
        <v>2347</v>
      </c>
      <c r="B909" s="151" t="s">
        <v>2348</v>
      </c>
    </row>
    <row r="910" spans="1:2">
      <c r="A910" s="151" t="s">
        <v>2349</v>
      </c>
      <c r="B910" s="151" t="s">
        <v>2350</v>
      </c>
    </row>
    <row r="911" spans="1:2">
      <c r="A911" s="151" t="s">
        <v>2351</v>
      </c>
      <c r="B911" s="151" t="s">
        <v>2352</v>
      </c>
    </row>
    <row r="912" spans="1:2">
      <c r="A912" s="151" t="s">
        <v>2353</v>
      </c>
      <c r="B912" s="151" t="s">
        <v>2354</v>
      </c>
    </row>
    <row r="913" spans="1:2">
      <c r="A913" s="151" t="s">
        <v>2355</v>
      </c>
      <c r="B913" s="151" t="s">
        <v>2356</v>
      </c>
    </row>
    <row r="914" spans="1:2">
      <c r="A914" s="151" t="s">
        <v>2357</v>
      </c>
      <c r="B914" s="151" t="s">
        <v>2358</v>
      </c>
    </row>
    <row r="915" spans="1:2">
      <c r="A915" s="151" t="s">
        <v>2359</v>
      </c>
      <c r="B915" s="151" t="s">
        <v>2360</v>
      </c>
    </row>
    <row r="916" spans="1:2">
      <c r="A916" s="151" t="s">
        <v>2361</v>
      </c>
      <c r="B916" s="151" t="s">
        <v>2362</v>
      </c>
    </row>
    <row r="917" spans="1:2">
      <c r="A917" s="151" t="s">
        <v>2363</v>
      </c>
      <c r="B917" s="151" t="s">
        <v>2364</v>
      </c>
    </row>
    <row r="918" spans="1:2">
      <c r="A918" s="151" t="s">
        <v>2365</v>
      </c>
      <c r="B918" s="151" t="s">
        <v>2366</v>
      </c>
    </row>
    <row r="919" spans="1:2">
      <c r="A919" s="151" t="s">
        <v>2367</v>
      </c>
      <c r="B919" s="151" t="s">
        <v>2368</v>
      </c>
    </row>
    <row r="920" spans="1:2">
      <c r="A920" s="151" t="s">
        <v>2369</v>
      </c>
      <c r="B920" s="151" t="s">
        <v>2370</v>
      </c>
    </row>
    <row r="921" spans="1:2">
      <c r="A921" s="151" t="s">
        <v>2371</v>
      </c>
      <c r="B921" s="151" t="s">
        <v>2372</v>
      </c>
    </row>
    <row r="922" spans="1:2">
      <c r="A922" s="151" t="s">
        <v>2373</v>
      </c>
      <c r="B922" s="151" t="s">
        <v>2374</v>
      </c>
    </row>
    <row r="923" spans="1:2">
      <c r="A923" s="151" t="s">
        <v>2375</v>
      </c>
      <c r="B923" s="151" t="s">
        <v>2376</v>
      </c>
    </row>
    <row r="924" spans="1:2">
      <c r="A924" s="151" t="s">
        <v>2377</v>
      </c>
      <c r="B924" s="151" t="s">
        <v>2378</v>
      </c>
    </row>
    <row r="925" spans="1:2">
      <c r="A925" s="151" t="s">
        <v>2379</v>
      </c>
      <c r="B925" s="151" t="s">
        <v>2380</v>
      </c>
    </row>
    <row r="926" spans="1:2">
      <c r="A926" s="151" t="s">
        <v>2381</v>
      </c>
      <c r="B926" s="151" t="s">
        <v>2382</v>
      </c>
    </row>
    <row r="927" spans="1:2">
      <c r="A927" s="151" t="s">
        <v>2383</v>
      </c>
      <c r="B927" s="151" t="s">
        <v>2384</v>
      </c>
    </row>
    <row r="928" spans="1:2">
      <c r="A928" s="151" t="s">
        <v>2385</v>
      </c>
      <c r="B928" s="151" t="s">
        <v>2386</v>
      </c>
    </row>
    <row r="929" spans="1:2">
      <c r="A929" s="151" t="s">
        <v>2387</v>
      </c>
      <c r="B929" s="151" t="s">
        <v>2388</v>
      </c>
    </row>
    <row r="930" spans="1:2">
      <c r="A930" s="151" t="s">
        <v>2389</v>
      </c>
      <c r="B930" s="151" t="s">
        <v>2390</v>
      </c>
    </row>
    <row r="931" spans="1:2">
      <c r="A931" s="151" t="s">
        <v>2391</v>
      </c>
      <c r="B931" s="151" t="s">
        <v>2392</v>
      </c>
    </row>
    <row r="932" spans="1:2">
      <c r="A932" s="151" t="s">
        <v>2393</v>
      </c>
      <c r="B932" s="151" t="s">
        <v>2394</v>
      </c>
    </row>
    <row r="933" spans="1:2">
      <c r="A933" s="151" t="s">
        <v>2395</v>
      </c>
      <c r="B933" s="151" t="s">
        <v>2396</v>
      </c>
    </row>
    <row r="934" spans="1:2">
      <c r="A934" s="151" t="s">
        <v>2397</v>
      </c>
      <c r="B934" s="151" t="s">
        <v>2398</v>
      </c>
    </row>
    <row r="935" spans="1:2">
      <c r="A935" s="151" t="s">
        <v>2399</v>
      </c>
      <c r="B935" s="151" t="s">
        <v>2400</v>
      </c>
    </row>
    <row r="936" spans="1:2">
      <c r="A936" s="151" t="s">
        <v>2401</v>
      </c>
      <c r="B936" s="151" t="s">
        <v>2402</v>
      </c>
    </row>
    <row r="937" spans="1:2">
      <c r="A937" s="151" t="s">
        <v>2403</v>
      </c>
      <c r="B937" s="151" t="s">
        <v>2404</v>
      </c>
    </row>
    <row r="938" spans="1:2">
      <c r="A938" s="151" t="s">
        <v>2405</v>
      </c>
      <c r="B938" s="151" t="s">
        <v>2406</v>
      </c>
    </row>
    <row r="939" spans="1:2">
      <c r="A939" s="151" t="s">
        <v>2407</v>
      </c>
      <c r="B939" s="151" t="s">
        <v>2408</v>
      </c>
    </row>
    <row r="940" spans="1:2">
      <c r="A940" s="151" t="s">
        <v>2409</v>
      </c>
      <c r="B940" s="151" t="s">
        <v>2410</v>
      </c>
    </row>
    <row r="941" spans="1:2">
      <c r="A941" s="151" t="s">
        <v>2411</v>
      </c>
      <c r="B941" s="151" t="s">
        <v>2412</v>
      </c>
    </row>
    <row r="942" spans="1:2">
      <c r="A942" s="151" t="s">
        <v>2413</v>
      </c>
      <c r="B942" s="151" t="s">
        <v>2414</v>
      </c>
    </row>
    <row r="943" spans="1:2">
      <c r="A943" s="151" t="s">
        <v>2415</v>
      </c>
      <c r="B943" s="151" t="s">
        <v>2416</v>
      </c>
    </row>
    <row r="944" spans="1:2">
      <c r="A944" s="151" t="s">
        <v>2417</v>
      </c>
      <c r="B944" s="151" t="s">
        <v>2418</v>
      </c>
    </row>
    <row r="945" spans="1:2">
      <c r="A945" s="151" t="s">
        <v>2419</v>
      </c>
      <c r="B945" s="151" t="s">
        <v>2420</v>
      </c>
    </row>
    <row r="946" spans="1:2">
      <c r="A946" s="151" t="s">
        <v>2421</v>
      </c>
      <c r="B946" s="151" t="s">
        <v>2422</v>
      </c>
    </row>
    <row r="947" spans="1:2">
      <c r="A947" s="151" t="s">
        <v>2423</v>
      </c>
      <c r="B947" s="151" t="s">
        <v>2424</v>
      </c>
    </row>
    <row r="948" spans="1:2">
      <c r="A948" s="151" t="s">
        <v>2425</v>
      </c>
      <c r="B948" s="151" t="s">
        <v>2426</v>
      </c>
    </row>
    <row r="949" spans="1:2">
      <c r="A949" s="151" t="s">
        <v>2427</v>
      </c>
      <c r="B949" s="151" t="s">
        <v>2428</v>
      </c>
    </row>
    <row r="950" spans="1:2">
      <c r="A950" s="151" t="s">
        <v>2429</v>
      </c>
      <c r="B950" s="151" t="s">
        <v>2430</v>
      </c>
    </row>
    <row r="951" spans="1:2">
      <c r="A951" s="151" t="s">
        <v>2431</v>
      </c>
      <c r="B951" s="151" t="s">
        <v>2432</v>
      </c>
    </row>
    <row r="952" spans="1:2">
      <c r="A952" s="151" t="s">
        <v>2433</v>
      </c>
      <c r="B952" s="151" t="s">
        <v>2434</v>
      </c>
    </row>
    <row r="953" spans="1:2">
      <c r="A953" s="151" t="s">
        <v>2435</v>
      </c>
      <c r="B953" s="151" t="s">
        <v>2436</v>
      </c>
    </row>
    <row r="954" spans="1:2">
      <c r="A954" s="151" t="s">
        <v>2437</v>
      </c>
      <c r="B954" s="151" t="s">
        <v>2438</v>
      </c>
    </row>
    <row r="955" spans="1:2">
      <c r="A955" s="151" t="s">
        <v>2439</v>
      </c>
      <c r="B955" s="151" t="s">
        <v>2440</v>
      </c>
    </row>
    <row r="956" spans="1:2">
      <c r="A956" s="151" t="s">
        <v>2441</v>
      </c>
      <c r="B956" s="151" t="s">
        <v>2442</v>
      </c>
    </row>
    <row r="957" spans="1:2">
      <c r="A957" s="151" t="s">
        <v>2443</v>
      </c>
      <c r="B957" s="151" t="s">
        <v>2444</v>
      </c>
    </row>
    <row r="958" spans="1:2">
      <c r="A958" s="151" t="s">
        <v>2445</v>
      </c>
      <c r="B958" s="151" t="s">
        <v>2446</v>
      </c>
    </row>
    <row r="959" spans="1:2">
      <c r="A959" s="151" t="s">
        <v>2447</v>
      </c>
      <c r="B959" s="151" t="s">
        <v>2448</v>
      </c>
    </row>
    <row r="960" spans="1:2">
      <c r="A960" s="151" t="s">
        <v>2449</v>
      </c>
      <c r="B960" s="151" t="s">
        <v>2450</v>
      </c>
    </row>
    <row r="961" spans="1:2">
      <c r="A961" s="151" t="s">
        <v>2451</v>
      </c>
      <c r="B961" s="151" t="s">
        <v>2452</v>
      </c>
    </row>
    <row r="962" spans="1:2">
      <c r="A962" s="151" t="s">
        <v>2453</v>
      </c>
      <c r="B962" s="151" t="s">
        <v>2454</v>
      </c>
    </row>
    <row r="963" spans="1:2">
      <c r="A963" s="151" t="s">
        <v>2455</v>
      </c>
      <c r="B963" s="151" t="s">
        <v>2456</v>
      </c>
    </row>
    <row r="964" spans="1:2">
      <c r="A964" s="151" t="s">
        <v>2457</v>
      </c>
      <c r="B964" s="151" t="s">
        <v>2458</v>
      </c>
    </row>
    <row r="965" spans="1:2">
      <c r="A965" s="151" t="s">
        <v>2459</v>
      </c>
      <c r="B965" s="151" t="s">
        <v>2460</v>
      </c>
    </row>
    <row r="966" spans="1:2">
      <c r="A966" s="151" t="s">
        <v>2461</v>
      </c>
      <c r="B966" s="151" t="s">
        <v>294</v>
      </c>
    </row>
    <row r="967" spans="1:2">
      <c r="A967" s="151" t="s">
        <v>2462</v>
      </c>
      <c r="B967" s="151" t="s">
        <v>2463</v>
      </c>
    </row>
    <row r="968" spans="1:2">
      <c r="A968" s="151" t="s">
        <v>2464</v>
      </c>
      <c r="B968" s="151" t="s">
        <v>2465</v>
      </c>
    </row>
    <row r="969" spans="1:2">
      <c r="A969" s="151" t="s">
        <v>2466</v>
      </c>
      <c r="B969" s="151" t="s">
        <v>2467</v>
      </c>
    </row>
    <row r="970" spans="1:2">
      <c r="A970" s="151" t="s">
        <v>2468</v>
      </c>
      <c r="B970" s="151" t="s">
        <v>2469</v>
      </c>
    </row>
    <row r="971" spans="1:2">
      <c r="A971" s="151" t="s">
        <v>2470</v>
      </c>
      <c r="B971" s="151" t="s">
        <v>2471</v>
      </c>
    </row>
    <row r="972" spans="1:2">
      <c r="A972" s="151" t="s">
        <v>2472</v>
      </c>
      <c r="B972" s="151" t="s">
        <v>2473</v>
      </c>
    </row>
    <row r="973" spans="1:2">
      <c r="A973" s="151" t="s">
        <v>2474</v>
      </c>
      <c r="B973" s="151" t="s">
        <v>2475</v>
      </c>
    </row>
    <row r="974" spans="1:2">
      <c r="A974" s="151" t="s">
        <v>2476</v>
      </c>
      <c r="B974" s="151" t="s">
        <v>2477</v>
      </c>
    </row>
    <row r="975" spans="1:2">
      <c r="A975" s="151" t="s">
        <v>2478</v>
      </c>
      <c r="B975" s="151" t="s">
        <v>2479</v>
      </c>
    </row>
    <row r="976" spans="1:2">
      <c r="A976" s="151" t="s">
        <v>2480</v>
      </c>
      <c r="B976" s="151" t="s">
        <v>2481</v>
      </c>
    </row>
    <row r="977" spans="1:2">
      <c r="A977" s="151" t="s">
        <v>2482</v>
      </c>
      <c r="B977" s="151" t="s">
        <v>2483</v>
      </c>
    </row>
    <row r="978" spans="1:2">
      <c r="A978" s="151" t="s">
        <v>2484</v>
      </c>
      <c r="B978" s="151" t="s">
        <v>2485</v>
      </c>
    </row>
    <row r="979" spans="1:2">
      <c r="A979" s="151" t="s">
        <v>2486</v>
      </c>
      <c r="B979" s="151" t="s">
        <v>2487</v>
      </c>
    </row>
    <row r="980" spans="1:2">
      <c r="A980" s="151" t="s">
        <v>2488</v>
      </c>
      <c r="B980" s="151" t="s">
        <v>2489</v>
      </c>
    </row>
    <row r="981" spans="1:2">
      <c r="A981" s="151" t="s">
        <v>2490</v>
      </c>
      <c r="B981" s="151" t="s">
        <v>2491</v>
      </c>
    </row>
    <row r="982" spans="1:2">
      <c r="A982" s="151" t="s">
        <v>2492</v>
      </c>
      <c r="B982" s="151" t="s">
        <v>2493</v>
      </c>
    </row>
    <row r="983" spans="1:2">
      <c r="A983" s="151" t="s">
        <v>2494</v>
      </c>
      <c r="B983" s="151" t="s">
        <v>2495</v>
      </c>
    </row>
    <row r="984" spans="1:2">
      <c r="A984" s="151" t="s">
        <v>2496</v>
      </c>
      <c r="B984" s="151" t="s">
        <v>2497</v>
      </c>
    </row>
    <row r="985" spans="1:2">
      <c r="A985" s="151" t="s">
        <v>2498</v>
      </c>
      <c r="B985" s="151" t="s">
        <v>2499</v>
      </c>
    </row>
    <row r="986" spans="1:2">
      <c r="A986" s="151" t="s">
        <v>2500</v>
      </c>
      <c r="B986" s="151" t="s">
        <v>2501</v>
      </c>
    </row>
    <row r="987" spans="1:2">
      <c r="A987" s="151" t="s">
        <v>2502</v>
      </c>
      <c r="B987" s="151" t="s">
        <v>2503</v>
      </c>
    </row>
    <row r="988" spans="1:2">
      <c r="A988" s="151" t="s">
        <v>2504</v>
      </c>
      <c r="B988" s="151" t="s">
        <v>2505</v>
      </c>
    </row>
    <row r="989" spans="1:2">
      <c r="A989" s="151" t="s">
        <v>2506</v>
      </c>
      <c r="B989" s="151" t="s">
        <v>2507</v>
      </c>
    </row>
    <row r="990" spans="1:2">
      <c r="A990" s="151" t="s">
        <v>2508</v>
      </c>
      <c r="B990" s="151" t="s">
        <v>2509</v>
      </c>
    </row>
    <row r="991" spans="1:2">
      <c r="A991" s="151" t="s">
        <v>2510</v>
      </c>
      <c r="B991" s="151" t="s">
        <v>299</v>
      </c>
    </row>
    <row r="992" spans="1:2">
      <c r="A992" s="151" t="s">
        <v>2511</v>
      </c>
      <c r="B992" s="151" t="s">
        <v>2512</v>
      </c>
    </row>
    <row r="993" spans="1:2">
      <c r="A993" s="151" t="s">
        <v>2513</v>
      </c>
      <c r="B993" s="151" t="s">
        <v>2514</v>
      </c>
    </row>
    <row r="994" spans="1:2">
      <c r="A994" s="151" t="s">
        <v>2515</v>
      </c>
      <c r="B994" s="151" t="s">
        <v>2516</v>
      </c>
    </row>
    <row r="995" spans="1:2">
      <c r="A995" s="151" t="s">
        <v>2517</v>
      </c>
      <c r="B995" s="151" t="s">
        <v>2518</v>
      </c>
    </row>
    <row r="996" spans="1:2">
      <c r="A996" s="151" t="s">
        <v>2519</v>
      </c>
      <c r="B996" s="151" t="s">
        <v>2520</v>
      </c>
    </row>
    <row r="997" spans="1:2">
      <c r="A997" s="151" t="s">
        <v>2521</v>
      </c>
      <c r="B997" s="151" t="s">
        <v>2522</v>
      </c>
    </row>
    <row r="998" spans="1:2">
      <c r="A998" s="151" t="s">
        <v>2523</v>
      </c>
      <c r="B998" s="151" t="s">
        <v>2524</v>
      </c>
    </row>
    <row r="999" spans="1:2">
      <c r="A999" s="151" t="s">
        <v>2525</v>
      </c>
      <c r="B999" s="151" t="s">
        <v>2526</v>
      </c>
    </row>
    <row r="1000" spans="1:2">
      <c r="A1000" s="151" t="s">
        <v>2527</v>
      </c>
      <c r="B1000" s="151" t="s">
        <v>2528</v>
      </c>
    </row>
    <row r="1001" spans="1:2">
      <c r="A1001" s="151" t="s">
        <v>2529</v>
      </c>
      <c r="B1001" s="151" t="s">
        <v>2530</v>
      </c>
    </row>
    <row r="1002" spans="1:2">
      <c r="A1002" s="151" t="s">
        <v>2531</v>
      </c>
      <c r="B1002" s="151" t="s">
        <v>2532</v>
      </c>
    </row>
    <row r="1003" spans="1:2">
      <c r="A1003" s="151" t="s">
        <v>2533</v>
      </c>
      <c r="B1003" s="151" t="s">
        <v>2534</v>
      </c>
    </row>
    <row r="1004" spans="1:2">
      <c r="A1004" s="151" t="s">
        <v>2535</v>
      </c>
      <c r="B1004" s="151" t="s">
        <v>2536</v>
      </c>
    </row>
    <row r="1005" spans="1:2">
      <c r="A1005" s="151" t="s">
        <v>2537</v>
      </c>
      <c r="B1005" s="151" t="s">
        <v>2538</v>
      </c>
    </row>
    <row r="1006" spans="1:2">
      <c r="A1006" s="151" t="s">
        <v>2539</v>
      </c>
      <c r="B1006" s="151" t="s">
        <v>2540</v>
      </c>
    </row>
    <row r="1007" spans="1:2">
      <c r="A1007" s="151" t="s">
        <v>2541</v>
      </c>
      <c r="B1007" s="151" t="s">
        <v>2542</v>
      </c>
    </row>
    <row r="1008" spans="1:2">
      <c r="A1008" s="151" t="s">
        <v>2543</v>
      </c>
      <c r="B1008" s="151" t="s">
        <v>2544</v>
      </c>
    </row>
    <row r="1009" spans="1:2">
      <c r="A1009" s="151" t="s">
        <v>2545</v>
      </c>
      <c r="B1009" s="151" t="s">
        <v>2546</v>
      </c>
    </row>
    <row r="1010" spans="1:2">
      <c r="A1010" s="151" t="s">
        <v>2547</v>
      </c>
      <c r="B1010" s="151" t="s">
        <v>2548</v>
      </c>
    </row>
    <row r="1011" spans="1:2">
      <c r="A1011" s="151" t="s">
        <v>2549</v>
      </c>
      <c r="B1011" s="151" t="s">
        <v>2550</v>
      </c>
    </row>
    <row r="1012" spans="1:2">
      <c r="A1012" s="151" t="s">
        <v>2551</v>
      </c>
      <c r="B1012" s="151" t="s">
        <v>2552</v>
      </c>
    </row>
    <row r="1013" spans="1:2">
      <c r="A1013" s="151" t="s">
        <v>2553</v>
      </c>
      <c r="B1013" s="151" t="s">
        <v>2554</v>
      </c>
    </row>
    <row r="1014" spans="1:2">
      <c r="A1014" s="151" t="s">
        <v>2555</v>
      </c>
      <c r="B1014" s="151" t="s">
        <v>2556</v>
      </c>
    </row>
    <row r="1015" spans="1:2">
      <c r="A1015" s="151" t="s">
        <v>2557</v>
      </c>
      <c r="B1015" s="151" t="s">
        <v>2558</v>
      </c>
    </row>
    <row r="1016" spans="1:2">
      <c r="A1016" s="151" t="s">
        <v>2559</v>
      </c>
      <c r="B1016" s="151" t="s">
        <v>2560</v>
      </c>
    </row>
    <row r="1017" spans="1:2">
      <c r="A1017" s="151" t="s">
        <v>2561</v>
      </c>
      <c r="B1017" s="151" t="s">
        <v>2562</v>
      </c>
    </row>
    <row r="1018" spans="1:2">
      <c r="A1018" s="151" t="s">
        <v>2563</v>
      </c>
      <c r="B1018" s="151" t="s">
        <v>2564</v>
      </c>
    </row>
    <row r="1019" spans="1:2">
      <c r="A1019" s="151" t="s">
        <v>2565</v>
      </c>
      <c r="B1019" s="151" t="s">
        <v>2566</v>
      </c>
    </row>
    <row r="1020" spans="1:2">
      <c r="A1020" s="151" t="s">
        <v>2567</v>
      </c>
      <c r="B1020" s="151" t="s">
        <v>2568</v>
      </c>
    </row>
    <row r="1021" spans="1:2">
      <c r="A1021" s="151" t="s">
        <v>2569</v>
      </c>
      <c r="B1021" s="151" t="s">
        <v>2570</v>
      </c>
    </row>
    <row r="1022" spans="1:2">
      <c r="A1022" s="151" t="s">
        <v>2571</v>
      </c>
      <c r="B1022" s="151" t="s">
        <v>2572</v>
      </c>
    </row>
    <row r="1023" spans="1:2">
      <c r="A1023" s="151" t="s">
        <v>2573</v>
      </c>
      <c r="B1023" s="151" t="s">
        <v>2574</v>
      </c>
    </row>
    <row r="1024" spans="1:2">
      <c r="A1024" s="151" t="s">
        <v>2575</v>
      </c>
      <c r="B1024" s="151" t="s">
        <v>2576</v>
      </c>
    </row>
    <row r="1025" spans="1:2">
      <c r="A1025" s="151" t="s">
        <v>2577</v>
      </c>
      <c r="B1025" s="151" t="s">
        <v>2578</v>
      </c>
    </row>
    <row r="1026" spans="1:2">
      <c r="A1026" s="151" t="s">
        <v>2579</v>
      </c>
      <c r="B1026" s="151" t="s">
        <v>2580</v>
      </c>
    </row>
    <row r="1027" spans="1:2">
      <c r="A1027" s="151" t="s">
        <v>2581</v>
      </c>
      <c r="B1027" s="151" t="s">
        <v>2582</v>
      </c>
    </row>
    <row r="1028" spans="1:2">
      <c r="A1028" s="151" t="s">
        <v>2583</v>
      </c>
      <c r="B1028" s="151" t="s">
        <v>2584</v>
      </c>
    </row>
    <row r="1029" spans="1:2">
      <c r="A1029" s="151" t="s">
        <v>2585</v>
      </c>
      <c r="B1029" s="151" t="s">
        <v>2586</v>
      </c>
    </row>
    <row r="1030" spans="1:2">
      <c r="A1030" s="151" t="s">
        <v>2587</v>
      </c>
      <c r="B1030" s="151" t="s">
        <v>2588</v>
      </c>
    </row>
    <row r="1031" spans="1:2">
      <c r="A1031" s="151" t="s">
        <v>2589</v>
      </c>
      <c r="B1031" s="151" t="s">
        <v>2590</v>
      </c>
    </row>
    <row r="1032" spans="1:2">
      <c r="A1032" s="151" t="s">
        <v>2591</v>
      </c>
      <c r="B1032" s="151" t="s">
        <v>2592</v>
      </c>
    </row>
    <row r="1033" spans="1:2">
      <c r="A1033" s="151" t="s">
        <v>2593</v>
      </c>
      <c r="B1033" s="151" t="s">
        <v>2594</v>
      </c>
    </row>
    <row r="1034" spans="1:2">
      <c r="A1034" s="151" t="s">
        <v>2595</v>
      </c>
      <c r="B1034" s="151" t="s">
        <v>2596</v>
      </c>
    </row>
    <row r="1035" spans="1:2">
      <c r="A1035" s="151" t="s">
        <v>2597</v>
      </c>
      <c r="B1035" s="151" t="s">
        <v>2598</v>
      </c>
    </row>
    <row r="1036" spans="1:2">
      <c r="A1036" s="151" t="s">
        <v>2599</v>
      </c>
      <c r="B1036" s="151" t="s">
        <v>2600</v>
      </c>
    </row>
    <row r="1037" spans="1:2">
      <c r="A1037" s="151" t="s">
        <v>2601</v>
      </c>
      <c r="B1037" s="151" t="s">
        <v>2602</v>
      </c>
    </row>
    <row r="1038" spans="1:2">
      <c r="A1038" s="151" t="s">
        <v>2603</v>
      </c>
      <c r="B1038" s="151" t="s">
        <v>2604</v>
      </c>
    </row>
    <row r="1039" spans="1:2">
      <c r="A1039" s="151" t="s">
        <v>2605</v>
      </c>
      <c r="B1039" s="151" t="s">
        <v>2606</v>
      </c>
    </row>
    <row r="1040" spans="1:2">
      <c r="A1040" s="151" t="s">
        <v>2607</v>
      </c>
      <c r="B1040" s="151" t="s">
        <v>2608</v>
      </c>
    </row>
    <row r="1041" spans="1:2">
      <c r="A1041" s="151" t="s">
        <v>2609</v>
      </c>
      <c r="B1041" s="151" t="s">
        <v>2610</v>
      </c>
    </row>
    <row r="1042" spans="1:2">
      <c r="A1042" s="151" t="s">
        <v>2611</v>
      </c>
      <c r="B1042" s="151" t="s">
        <v>2612</v>
      </c>
    </row>
    <row r="1043" spans="1:2">
      <c r="A1043" s="151" t="s">
        <v>2613</v>
      </c>
      <c r="B1043" s="151" t="s">
        <v>2614</v>
      </c>
    </row>
    <row r="1044" spans="1:2">
      <c r="A1044" s="151" t="s">
        <v>2615</v>
      </c>
      <c r="B1044" s="151" t="s">
        <v>2616</v>
      </c>
    </row>
    <row r="1045" spans="1:2">
      <c r="A1045" s="151" t="s">
        <v>2617</v>
      </c>
      <c r="B1045" s="151" t="s">
        <v>2618</v>
      </c>
    </row>
    <row r="1046" spans="1:2">
      <c r="A1046" s="151" t="s">
        <v>2619</v>
      </c>
      <c r="B1046" s="151" t="s">
        <v>2620</v>
      </c>
    </row>
    <row r="1047" spans="1:2">
      <c r="A1047" s="151" t="s">
        <v>2621</v>
      </c>
      <c r="B1047" s="151" t="s">
        <v>2622</v>
      </c>
    </row>
    <row r="1048" spans="1:2">
      <c r="A1048" s="151" t="s">
        <v>2623</v>
      </c>
      <c r="B1048" s="151" t="s">
        <v>2624</v>
      </c>
    </row>
    <row r="1049" spans="1:2">
      <c r="A1049" s="151" t="s">
        <v>2625</v>
      </c>
      <c r="B1049" s="151" t="s">
        <v>2626</v>
      </c>
    </row>
    <row r="1050" spans="1:2">
      <c r="A1050" s="151" t="s">
        <v>2627</v>
      </c>
      <c r="B1050" s="151" t="s">
        <v>2628</v>
      </c>
    </row>
    <row r="1051" spans="1:2">
      <c r="A1051" s="151" t="s">
        <v>2629</v>
      </c>
      <c r="B1051" s="151" t="s">
        <v>2630</v>
      </c>
    </row>
    <row r="1052" spans="1:2">
      <c r="A1052" s="151" t="s">
        <v>2631</v>
      </c>
      <c r="B1052" s="151" t="s">
        <v>2632</v>
      </c>
    </row>
    <row r="1053" spans="1:2">
      <c r="A1053" s="151" t="s">
        <v>2633</v>
      </c>
      <c r="B1053" s="151" t="s">
        <v>2634</v>
      </c>
    </row>
    <row r="1054" spans="1:2">
      <c r="A1054" s="151" t="s">
        <v>2635</v>
      </c>
      <c r="B1054" s="151" t="s">
        <v>2636</v>
      </c>
    </row>
    <row r="1055" spans="1:2">
      <c r="A1055" s="151" t="s">
        <v>2637</v>
      </c>
      <c r="B1055" s="151" t="s">
        <v>2638</v>
      </c>
    </row>
    <row r="1056" spans="1:2">
      <c r="A1056" s="151" t="s">
        <v>2639</v>
      </c>
      <c r="B1056" s="151" t="s">
        <v>2640</v>
      </c>
    </row>
    <row r="1057" spans="1:2">
      <c r="A1057" s="151" t="s">
        <v>2641</v>
      </c>
      <c r="B1057" s="151" t="s">
        <v>2642</v>
      </c>
    </row>
    <row r="1058" spans="1:2">
      <c r="A1058" s="151" t="s">
        <v>2643</v>
      </c>
      <c r="B1058" s="151" t="s">
        <v>2644</v>
      </c>
    </row>
    <row r="1059" spans="1:2">
      <c r="A1059" s="151" t="s">
        <v>2645</v>
      </c>
      <c r="B1059" s="151" t="s">
        <v>2646</v>
      </c>
    </row>
    <row r="1060" spans="1:2">
      <c r="A1060" s="151" t="s">
        <v>2647</v>
      </c>
      <c r="B1060" s="151" t="s">
        <v>2648</v>
      </c>
    </row>
    <row r="1061" spans="1:2">
      <c r="A1061" s="151" t="s">
        <v>2649</v>
      </c>
      <c r="B1061" s="151" t="s">
        <v>2650</v>
      </c>
    </row>
    <row r="1062" spans="1:2">
      <c r="A1062" s="151" t="s">
        <v>2651</v>
      </c>
      <c r="B1062" s="151" t="s">
        <v>2652</v>
      </c>
    </row>
    <row r="1063" spans="1:2">
      <c r="A1063" s="151" t="s">
        <v>2653</v>
      </c>
      <c r="B1063" s="151" t="s">
        <v>2654</v>
      </c>
    </row>
    <row r="1064" spans="1:2">
      <c r="A1064" s="151" t="s">
        <v>2655</v>
      </c>
      <c r="B1064" s="151" t="s">
        <v>2656</v>
      </c>
    </row>
    <row r="1065" spans="1:2">
      <c r="A1065" s="151" t="s">
        <v>2657</v>
      </c>
      <c r="B1065" s="151" t="s">
        <v>2658</v>
      </c>
    </row>
    <row r="1066" spans="1:2">
      <c r="A1066" s="151" t="s">
        <v>2659</v>
      </c>
      <c r="B1066" s="151" t="s">
        <v>2660</v>
      </c>
    </row>
    <row r="1067" spans="1:2">
      <c r="A1067" s="151" t="s">
        <v>2661</v>
      </c>
      <c r="B1067" s="151" t="s">
        <v>2662</v>
      </c>
    </row>
    <row r="1068" spans="1:2">
      <c r="A1068" s="151" t="s">
        <v>2663</v>
      </c>
      <c r="B1068" s="151" t="s">
        <v>2664</v>
      </c>
    </row>
    <row r="1069" spans="1:2">
      <c r="A1069" s="151" t="s">
        <v>2665</v>
      </c>
      <c r="B1069" s="151" t="s">
        <v>2666</v>
      </c>
    </row>
    <row r="1070" spans="1:2">
      <c r="A1070" s="151" t="s">
        <v>2667</v>
      </c>
      <c r="B1070" s="151" t="s">
        <v>2668</v>
      </c>
    </row>
    <row r="1071" spans="1:2">
      <c r="A1071" s="151" t="s">
        <v>2669</v>
      </c>
      <c r="B1071" s="151" t="s">
        <v>2670</v>
      </c>
    </row>
    <row r="1072" spans="1:2">
      <c r="A1072" s="151" t="s">
        <v>2671</v>
      </c>
      <c r="B1072" s="151" t="s">
        <v>2672</v>
      </c>
    </row>
    <row r="1073" spans="1:2">
      <c r="A1073" s="151" t="s">
        <v>2673</v>
      </c>
      <c r="B1073" s="151" t="s">
        <v>2674</v>
      </c>
    </row>
    <row r="1074" spans="1:2">
      <c r="A1074" s="151" t="s">
        <v>2675</v>
      </c>
      <c r="B1074" s="151" t="s">
        <v>2676</v>
      </c>
    </row>
    <row r="1075" spans="1:2">
      <c r="A1075" s="151" t="s">
        <v>2677</v>
      </c>
      <c r="B1075" s="151" t="s">
        <v>2678</v>
      </c>
    </row>
    <row r="1076" spans="1:2">
      <c r="A1076" s="151" t="s">
        <v>2679</v>
      </c>
      <c r="B1076" s="151" t="s">
        <v>2680</v>
      </c>
    </row>
    <row r="1077" spans="1:2">
      <c r="A1077" s="151" t="s">
        <v>2681</v>
      </c>
      <c r="B1077" s="151" t="s">
        <v>2682</v>
      </c>
    </row>
    <row r="1078" spans="1:2">
      <c r="A1078" s="151" t="s">
        <v>2683</v>
      </c>
      <c r="B1078" s="151" t="s">
        <v>2684</v>
      </c>
    </row>
    <row r="1079" spans="1:2">
      <c r="A1079" s="151" t="s">
        <v>2685</v>
      </c>
      <c r="B1079" s="151" t="s">
        <v>2686</v>
      </c>
    </row>
    <row r="1080" spans="1:2">
      <c r="A1080" s="151" t="s">
        <v>2687</v>
      </c>
      <c r="B1080" s="151" t="s">
        <v>2688</v>
      </c>
    </row>
    <row r="1081" spans="1:2">
      <c r="A1081" s="151" t="s">
        <v>2689</v>
      </c>
      <c r="B1081" s="151" t="s">
        <v>2690</v>
      </c>
    </row>
    <row r="1082" spans="1:2">
      <c r="A1082" s="151" t="s">
        <v>2691</v>
      </c>
      <c r="B1082" s="151" t="s">
        <v>2692</v>
      </c>
    </row>
    <row r="1083" spans="1:2">
      <c r="A1083" s="151" t="s">
        <v>2693</v>
      </c>
      <c r="B1083" s="151" t="s">
        <v>2694</v>
      </c>
    </row>
    <row r="1084" spans="1:2">
      <c r="A1084" s="151" t="s">
        <v>2695</v>
      </c>
      <c r="B1084" s="151" t="s">
        <v>2696</v>
      </c>
    </row>
    <row r="1085" spans="1:2">
      <c r="A1085" s="151" t="s">
        <v>2697</v>
      </c>
      <c r="B1085" s="151" t="s">
        <v>2698</v>
      </c>
    </row>
    <row r="1086" spans="1:2">
      <c r="A1086" s="151" t="s">
        <v>2699</v>
      </c>
      <c r="B1086" s="151" t="s">
        <v>2700</v>
      </c>
    </row>
    <row r="1087" spans="1:2">
      <c r="A1087" s="151" t="s">
        <v>2701</v>
      </c>
      <c r="B1087" s="151" t="s">
        <v>2702</v>
      </c>
    </row>
    <row r="1088" spans="1:2">
      <c r="A1088" s="151" t="s">
        <v>2703</v>
      </c>
      <c r="B1088" s="151" t="s">
        <v>2704</v>
      </c>
    </row>
    <row r="1089" spans="1:2">
      <c r="A1089" s="151" t="s">
        <v>2705</v>
      </c>
      <c r="B1089" s="151" t="s">
        <v>2706</v>
      </c>
    </row>
    <row r="1090" spans="1:2">
      <c r="A1090" s="151" t="s">
        <v>2707</v>
      </c>
      <c r="B1090" s="151" t="s">
        <v>2708</v>
      </c>
    </row>
    <row r="1091" spans="1:2">
      <c r="A1091" s="151" t="s">
        <v>2709</v>
      </c>
      <c r="B1091" s="151" t="s">
        <v>2710</v>
      </c>
    </row>
    <row r="1092" spans="1:2">
      <c r="A1092" s="151" t="s">
        <v>2711</v>
      </c>
      <c r="B1092" s="151" t="s">
        <v>2712</v>
      </c>
    </row>
    <row r="1093" spans="1:2">
      <c r="A1093" s="151" t="s">
        <v>2713</v>
      </c>
      <c r="B1093" s="151" t="s">
        <v>2714</v>
      </c>
    </row>
    <row r="1094" spans="1:2">
      <c r="A1094" s="151" t="s">
        <v>2715</v>
      </c>
      <c r="B1094" s="151" t="s">
        <v>2716</v>
      </c>
    </row>
    <row r="1095" spans="1:2">
      <c r="A1095" s="151" t="s">
        <v>2717</v>
      </c>
      <c r="B1095" s="151" t="s">
        <v>2718</v>
      </c>
    </row>
    <row r="1096" spans="1:2">
      <c r="A1096" s="151" t="s">
        <v>2719</v>
      </c>
      <c r="B1096" s="151" t="s">
        <v>2720</v>
      </c>
    </row>
    <row r="1097" spans="1:2">
      <c r="A1097" s="151" t="s">
        <v>2721</v>
      </c>
      <c r="B1097" s="151" t="s">
        <v>2722</v>
      </c>
    </row>
    <row r="1098" spans="1:2">
      <c r="A1098" s="151" t="s">
        <v>2723</v>
      </c>
      <c r="B1098" s="151" t="s">
        <v>2724</v>
      </c>
    </row>
    <row r="1099" spans="1:2">
      <c r="A1099" s="151" t="s">
        <v>2725</v>
      </c>
      <c r="B1099" s="151" t="s">
        <v>2726</v>
      </c>
    </row>
    <row r="1100" spans="1:2">
      <c r="A1100" s="151" t="s">
        <v>2727</v>
      </c>
      <c r="B1100" s="151" t="s">
        <v>2728</v>
      </c>
    </row>
    <row r="1101" spans="1:2">
      <c r="A1101" s="151" t="s">
        <v>2729</v>
      </c>
      <c r="B1101" s="151" t="s">
        <v>2730</v>
      </c>
    </row>
    <row r="1102" spans="1:2">
      <c r="A1102" s="151" t="s">
        <v>2731</v>
      </c>
      <c r="B1102" s="151" t="s">
        <v>2732</v>
      </c>
    </row>
    <row r="1103" spans="1:2">
      <c r="A1103" s="151" t="s">
        <v>2733</v>
      </c>
      <c r="B1103" s="151" t="s">
        <v>2734</v>
      </c>
    </row>
    <row r="1104" spans="1:2">
      <c r="A1104" s="151" t="s">
        <v>2735</v>
      </c>
      <c r="B1104" s="151" t="s">
        <v>2736</v>
      </c>
    </row>
    <row r="1105" spans="1:2">
      <c r="A1105" s="151" t="s">
        <v>2737</v>
      </c>
      <c r="B1105" s="151" t="s">
        <v>2738</v>
      </c>
    </row>
    <row r="1106" spans="1:2">
      <c r="A1106" s="151" t="s">
        <v>2739</v>
      </c>
      <c r="B1106" s="151" t="s">
        <v>2740</v>
      </c>
    </row>
    <row r="1107" spans="1:2">
      <c r="A1107" s="151" t="s">
        <v>2741</v>
      </c>
      <c r="B1107" s="151" t="s">
        <v>2742</v>
      </c>
    </row>
    <row r="1108" spans="1:2">
      <c r="A1108" s="151" t="s">
        <v>2743</v>
      </c>
      <c r="B1108" s="151" t="s">
        <v>2744</v>
      </c>
    </row>
    <row r="1109" spans="1:2">
      <c r="A1109" s="151" t="s">
        <v>2745</v>
      </c>
      <c r="B1109" s="151" t="s">
        <v>2746</v>
      </c>
    </row>
    <row r="1110" spans="1:2">
      <c r="A1110" s="151" t="s">
        <v>2747</v>
      </c>
      <c r="B1110" s="151" t="s">
        <v>2748</v>
      </c>
    </row>
    <row r="1111" spans="1:2">
      <c r="A1111" s="151" t="s">
        <v>2749</v>
      </c>
      <c r="B1111" s="151" t="s">
        <v>2750</v>
      </c>
    </row>
    <row r="1112" spans="1:2">
      <c r="A1112" s="151" t="s">
        <v>2751</v>
      </c>
      <c r="B1112" s="151" t="s">
        <v>2752</v>
      </c>
    </row>
    <row r="1113" spans="1:2">
      <c r="A1113" s="151" t="s">
        <v>2753</v>
      </c>
      <c r="B1113" s="151" t="s">
        <v>2754</v>
      </c>
    </row>
    <row r="1114" spans="1:2">
      <c r="A1114" s="151" t="s">
        <v>2755</v>
      </c>
      <c r="B1114" s="151" t="s">
        <v>2756</v>
      </c>
    </row>
    <row r="1115" spans="1:2">
      <c r="A1115" s="151" t="s">
        <v>2757</v>
      </c>
      <c r="B1115" s="151" t="s">
        <v>2758</v>
      </c>
    </row>
    <row r="1116" spans="1:2">
      <c r="A1116" s="151" t="s">
        <v>2759</v>
      </c>
      <c r="B1116" s="151" t="s">
        <v>2760</v>
      </c>
    </row>
    <row r="1117" spans="1:2">
      <c r="A1117" s="151" t="s">
        <v>2761</v>
      </c>
      <c r="B1117" s="151" t="s">
        <v>2762</v>
      </c>
    </row>
    <row r="1118" spans="1:2">
      <c r="A1118" s="151" t="s">
        <v>2763</v>
      </c>
      <c r="B1118" s="151" t="s">
        <v>2764</v>
      </c>
    </row>
    <row r="1119" spans="1:2">
      <c r="A1119" s="151" t="s">
        <v>2765</v>
      </c>
      <c r="B1119" s="151" t="s">
        <v>2766</v>
      </c>
    </row>
    <row r="1120" spans="1:2">
      <c r="A1120" s="151" t="s">
        <v>2767</v>
      </c>
      <c r="B1120" s="151" t="s">
        <v>2768</v>
      </c>
    </row>
    <row r="1121" spans="1:2">
      <c r="A1121" s="151" t="s">
        <v>2769</v>
      </c>
      <c r="B1121" s="151" t="s">
        <v>2770</v>
      </c>
    </row>
    <row r="1122" spans="1:2">
      <c r="A1122" s="151" t="s">
        <v>2771</v>
      </c>
      <c r="B1122" s="151" t="s">
        <v>2772</v>
      </c>
    </row>
    <row r="1123" spans="1:2">
      <c r="A1123" s="151" t="s">
        <v>2773</v>
      </c>
      <c r="B1123" s="151" t="s">
        <v>2774</v>
      </c>
    </row>
    <row r="1124" spans="1:2">
      <c r="A1124" s="151" t="s">
        <v>2775</v>
      </c>
      <c r="B1124" s="151" t="s">
        <v>2776</v>
      </c>
    </row>
    <row r="1125" spans="1:2">
      <c r="A1125" s="151" t="s">
        <v>2777</v>
      </c>
      <c r="B1125" s="151" t="s">
        <v>2778</v>
      </c>
    </row>
    <row r="1126" spans="1:2">
      <c r="A1126" s="151" t="s">
        <v>2779</v>
      </c>
      <c r="B1126" s="151" t="s">
        <v>2780</v>
      </c>
    </row>
    <row r="1127" spans="1:2">
      <c r="A1127" s="151" t="s">
        <v>2781</v>
      </c>
      <c r="B1127" s="151" t="s">
        <v>2782</v>
      </c>
    </row>
    <row r="1128" spans="1:2">
      <c r="A1128" s="151" t="s">
        <v>2783</v>
      </c>
      <c r="B1128" s="151" t="s">
        <v>2784</v>
      </c>
    </row>
    <row r="1129" spans="1:2">
      <c r="A1129" s="151" t="s">
        <v>2785</v>
      </c>
      <c r="B1129" s="151" t="s">
        <v>2786</v>
      </c>
    </row>
    <row r="1130" spans="1:2">
      <c r="A1130" s="151" t="s">
        <v>2787</v>
      </c>
      <c r="B1130" s="151" t="s">
        <v>2788</v>
      </c>
    </row>
    <row r="1131" spans="1:2">
      <c r="A1131" s="151" t="s">
        <v>2789</v>
      </c>
      <c r="B1131" s="151" t="s">
        <v>2790</v>
      </c>
    </row>
    <row r="1132" spans="1:2">
      <c r="A1132" s="151" t="s">
        <v>2791</v>
      </c>
      <c r="B1132" s="151" t="s">
        <v>2792</v>
      </c>
    </row>
    <row r="1133" spans="1:2">
      <c r="A1133" s="151" t="s">
        <v>2793</v>
      </c>
      <c r="B1133" s="151" t="s">
        <v>2794</v>
      </c>
    </row>
    <row r="1134" spans="1:2">
      <c r="A1134" s="151" t="s">
        <v>2795</v>
      </c>
      <c r="B1134" s="151" t="s">
        <v>2796</v>
      </c>
    </row>
    <row r="1135" spans="1:2">
      <c r="A1135" s="151" t="s">
        <v>2797</v>
      </c>
      <c r="B1135" s="151" t="s">
        <v>2798</v>
      </c>
    </row>
    <row r="1136" spans="1:2">
      <c r="A1136" s="151" t="s">
        <v>2799</v>
      </c>
      <c r="B1136" s="151" t="s">
        <v>2800</v>
      </c>
    </row>
    <row r="1137" spans="1:2">
      <c r="A1137" s="151" t="s">
        <v>2801</v>
      </c>
      <c r="B1137" s="151" t="s">
        <v>2802</v>
      </c>
    </row>
    <row r="1138" spans="1:2">
      <c r="A1138" s="151" t="s">
        <v>2803</v>
      </c>
      <c r="B1138" s="151" t="s">
        <v>2804</v>
      </c>
    </row>
    <row r="1139" spans="1:2">
      <c r="A1139" s="151" t="s">
        <v>2805</v>
      </c>
      <c r="B1139" s="151" t="s">
        <v>2806</v>
      </c>
    </row>
    <row r="1140" spans="1:2">
      <c r="A1140" s="151" t="s">
        <v>2807</v>
      </c>
      <c r="B1140" s="151" t="s">
        <v>2808</v>
      </c>
    </row>
    <row r="1141" spans="1:2">
      <c r="A1141" s="151" t="s">
        <v>2809</v>
      </c>
      <c r="B1141" s="151" t="s">
        <v>2810</v>
      </c>
    </row>
    <row r="1142" spans="1:2">
      <c r="A1142" s="151" t="s">
        <v>2811</v>
      </c>
      <c r="B1142" s="151" t="s">
        <v>2812</v>
      </c>
    </row>
    <row r="1143" spans="1:2">
      <c r="A1143" s="151" t="s">
        <v>2813</v>
      </c>
      <c r="B1143" s="151" t="s">
        <v>2814</v>
      </c>
    </row>
    <row r="1144" spans="1:2">
      <c r="A1144" s="151" t="s">
        <v>2815</v>
      </c>
      <c r="B1144" s="151" t="s">
        <v>2816</v>
      </c>
    </row>
    <row r="1145" spans="1:2">
      <c r="A1145" s="151" t="s">
        <v>2817</v>
      </c>
      <c r="B1145" s="151" t="s">
        <v>2818</v>
      </c>
    </row>
    <row r="1146" spans="1:2">
      <c r="A1146" s="151" t="s">
        <v>2819</v>
      </c>
      <c r="B1146" s="151" t="s">
        <v>2820</v>
      </c>
    </row>
    <row r="1147" spans="1:2">
      <c r="A1147" s="151" t="s">
        <v>2821</v>
      </c>
      <c r="B1147" s="151" t="s">
        <v>2822</v>
      </c>
    </row>
    <row r="1148" spans="1:2">
      <c r="A1148" s="151" t="s">
        <v>2823</v>
      </c>
      <c r="B1148" s="151" t="s">
        <v>2824</v>
      </c>
    </row>
    <row r="1149" spans="1:2">
      <c r="A1149" s="151" t="s">
        <v>2825</v>
      </c>
      <c r="B1149" s="151" t="s">
        <v>2826</v>
      </c>
    </row>
    <row r="1150" spans="1:2">
      <c r="A1150" s="151" t="s">
        <v>2827</v>
      </c>
      <c r="B1150" s="151" t="s">
        <v>2828</v>
      </c>
    </row>
    <row r="1151" spans="1:2">
      <c r="A1151" s="151" t="s">
        <v>2829</v>
      </c>
      <c r="B1151" s="151" t="s">
        <v>2830</v>
      </c>
    </row>
    <row r="1152" spans="1:2">
      <c r="A1152" s="151" t="s">
        <v>2831</v>
      </c>
      <c r="B1152" s="151" t="s">
        <v>2832</v>
      </c>
    </row>
    <row r="1153" spans="1:2">
      <c r="A1153" s="151" t="s">
        <v>2833</v>
      </c>
      <c r="B1153" s="151" t="s">
        <v>2834</v>
      </c>
    </row>
    <row r="1154" spans="1:2">
      <c r="A1154" s="151" t="s">
        <v>2835</v>
      </c>
      <c r="B1154" s="151" t="s">
        <v>2836</v>
      </c>
    </row>
    <row r="1155" spans="1:2">
      <c r="A1155" s="151" t="s">
        <v>2837</v>
      </c>
      <c r="B1155" s="151" t="s">
        <v>2838</v>
      </c>
    </row>
    <row r="1156" spans="1:2">
      <c r="A1156" s="151" t="s">
        <v>2839</v>
      </c>
      <c r="B1156" s="151" t="s">
        <v>2840</v>
      </c>
    </row>
    <row r="1157" spans="1:2">
      <c r="A1157" s="151" t="s">
        <v>2841</v>
      </c>
      <c r="B1157" s="151" t="s">
        <v>2842</v>
      </c>
    </row>
    <row r="1158" spans="1:2">
      <c r="A1158" s="151" t="s">
        <v>2843</v>
      </c>
      <c r="B1158" s="151" t="s">
        <v>2844</v>
      </c>
    </row>
    <row r="1159" spans="1:2">
      <c r="A1159" s="151" t="s">
        <v>2845</v>
      </c>
      <c r="B1159" s="151" t="s">
        <v>2846</v>
      </c>
    </row>
    <row r="1160" spans="1:2">
      <c r="A1160" s="151" t="s">
        <v>2847</v>
      </c>
      <c r="B1160" s="151" t="s">
        <v>2848</v>
      </c>
    </row>
    <row r="1161" spans="1:2">
      <c r="A1161" s="151" t="s">
        <v>2849</v>
      </c>
      <c r="B1161" s="151" t="s">
        <v>2850</v>
      </c>
    </row>
    <row r="1162" spans="1:2">
      <c r="A1162" s="151" t="s">
        <v>2851</v>
      </c>
      <c r="B1162" s="151" t="s">
        <v>2852</v>
      </c>
    </row>
    <row r="1163" spans="1:2">
      <c r="A1163" s="151" t="s">
        <v>2853</v>
      </c>
      <c r="B1163" s="151" t="s">
        <v>2854</v>
      </c>
    </row>
    <row r="1164" spans="1:2">
      <c r="A1164" s="151" t="s">
        <v>2855</v>
      </c>
      <c r="B1164" s="151" t="s">
        <v>2856</v>
      </c>
    </row>
    <row r="1165" spans="1:2">
      <c r="A1165" s="151" t="s">
        <v>2857</v>
      </c>
      <c r="B1165" s="151" t="s">
        <v>2858</v>
      </c>
    </row>
    <row r="1166" spans="1:2">
      <c r="A1166" s="151" t="s">
        <v>2859</v>
      </c>
      <c r="B1166" s="151" t="s">
        <v>2860</v>
      </c>
    </row>
    <row r="1167" spans="1:2">
      <c r="A1167" s="151" t="s">
        <v>2861</v>
      </c>
      <c r="B1167" s="151" t="s">
        <v>2862</v>
      </c>
    </row>
    <row r="1168" spans="1:2">
      <c r="A1168" s="151" t="s">
        <v>2863</v>
      </c>
      <c r="B1168" s="151" t="s">
        <v>2864</v>
      </c>
    </row>
    <row r="1169" spans="1:2">
      <c r="A1169" s="151" t="s">
        <v>2865</v>
      </c>
      <c r="B1169" s="151" t="s">
        <v>2866</v>
      </c>
    </row>
    <row r="1170" spans="1:2">
      <c r="A1170" s="151" t="s">
        <v>2867</v>
      </c>
      <c r="B1170" s="151" t="s">
        <v>2868</v>
      </c>
    </row>
    <row r="1171" spans="1:2">
      <c r="A1171" s="151" t="s">
        <v>2869</v>
      </c>
      <c r="B1171" s="151" t="s">
        <v>2870</v>
      </c>
    </row>
    <row r="1172" spans="1:2">
      <c r="A1172" s="151" t="s">
        <v>2871</v>
      </c>
      <c r="B1172" s="151" t="s">
        <v>2872</v>
      </c>
    </row>
    <row r="1173" spans="1:2">
      <c r="A1173" s="151" t="s">
        <v>2873</v>
      </c>
      <c r="B1173" s="151" t="s">
        <v>2874</v>
      </c>
    </row>
    <row r="1174" spans="1:2">
      <c r="A1174" s="151" t="s">
        <v>2875</v>
      </c>
      <c r="B1174" s="151" t="s">
        <v>2876</v>
      </c>
    </row>
    <row r="1175" spans="1:2">
      <c r="A1175" s="151" t="s">
        <v>2877</v>
      </c>
      <c r="B1175" s="151" t="s">
        <v>2878</v>
      </c>
    </row>
    <row r="1176" spans="1:2">
      <c r="A1176" s="151" t="s">
        <v>2879</v>
      </c>
      <c r="B1176" s="151" t="s">
        <v>2880</v>
      </c>
    </row>
    <row r="1177" spans="1:2">
      <c r="A1177" s="151" t="s">
        <v>2881</v>
      </c>
      <c r="B1177" s="151" t="s">
        <v>2882</v>
      </c>
    </row>
    <row r="1178" spans="1:2">
      <c r="A1178" s="151" t="s">
        <v>2883</v>
      </c>
      <c r="B1178" s="151" t="s">
        <v>2884</v>
      </c>
    </row>
    <row r="1179" spans="1:2">
      <c r="A1179" s="151" t="s">
        <v>2885</v>
      </c>
      <c r="B1179" s="151" t="s">
        <v>2886</v>
      </c>
    </row>
    <row r="1180" spans="1:2">
      <c r="A1180" s="151" t="s">
        <v>2887</v>
      </c>
      <c r="B1180" s="151" t="s">
        <v>2888</v>
      </c>
    </row>
    <row r="1181" spans="1:2">
      <c r="A1181" s="151" t="s">
        <v>2889</v>
      </c>
      <c r="B1181" s="151" t="s">
        <v>2890</v>
      </c>
    </row>
    <row r="1182" spans="1:2">
      <c r="A1182" s="151" t="s">
        <v>2891</v>
      </c>
      <c r="B1182" s="151" t="s">
        <v>2892</v>
      </c>
    </row>
    <row r="1183" spans="1:2">
      <c r="A1183" s="151" t="s">
        <v>2893</v>
      </c>
      <c r="B1183" s="151" t="s">
        <v>2894</v>
      </c>
    </row>
    <row r="1184" spans="1:2">
      <c r="A1184" s="151" t="s">
        <v>2895</v>
      </c>
      <c r="B1184" s="151" t="s">
        <v>2896</v>
      </c>
    </row>
    <row r="1185" spans="1:2">
      <c r="A1185" s="151" t="s">
        <v>2897</v>
      </c>
      <c r="B1185" s="151" t="s">
        <v>2898</v>
      </c>
    </row>
    <row r="1186" spans="1:2">
      <c r="A1186" s="151" t="s">
        <v>2899</v>
      </c>
      <c r="B1186" s="151" t="s">
        <v>2900</v>
      </c>
    </row>
    <row r="1187" spans="1:2">
      <c r="A1187" s="151" t="s">
        <v>2901</v>
      </c>
      <c r="B1187" s="151" t="s">
        <v>2902</v>
      </c>
    </row>
    <row r="1188" spans="1:2">
      <c r="A1188" s="151" t="s">
        <v>2903</v>
      </c>
      <c r="B1188" s="151" t="s">
        <v>2904</v>
      </c>
    </row>
    <row r="1189" spans="1:2">
      <c r="A1189" s="151" t="s">
        <v>2905</v>
      </c>
      <c r="B1189" s="151" t="s">
        <v>2906</v>
      </c>
    </row>
    <row r="1190" spans="1:2">
      <c r="A1190" s="151" t="s">
        <v>2907</v>
      </c>
      <c r="B1190" s="151" t="s">
        <v>2908</v>
      </c>
    </row>
    <row r="1191" spans="1:2">
      <c r="A1191" s="151" t="s">
        <v>2909</v>
      </c>
      <c r="B1191" s="151" t="s">
        <v>2910</v>
      </c>
    </row>
    <row r="1192" spans="1:2">
      <c r="A1192" s="151" t="s">
        <v>2911</v>
      </c>
      <c r="B1192" s="151" t="s">
        <v>2912</v>
      </c>
    </row>
    <row r="1193" spans="1:2">
      <c r="A1193" s="151" t="s">
        <v>2913</v>
      </c>
      <c r="B1193" s="151" t="s">
        <v>2914</v>
      </c>
    </row>
    <row r="1194" spans="1:2">
      <c r="A1194" s="151" t="s">
        <v>2915</v>
      </c>
      <c r="B1194" s="151" t="s">
        <v>2916</v>
      </c>
    </row>
    <row r="1195" spans="1:2">
      <c r="A1195" s="151" t="s">
        <v>2917</v>
      </c>
      <c r="B1195" s="151" t="s">
        <v>2918</v>
      </c>
    </row>
    <row r="1196" spans="1:2">
      <c r="A1196" s="151" t="s">
        <v>2919</v>
      </c>
      <c r="B1196" s="151" t="s">
        <v>2920</v>
      </c>
    </row>
    <row r="1197" spans="1:2">
      <c r="A1197" s="151" t="s">
        <v>2921</v>
      </c>
      <c r="B1197" s="151" t="s">
        <v>2922</v>
      </c>
    </row>
    <row r="1198" spans="1:2">
      <c r="A1198" s="151" t="s">
        <v>2923</v>
      </c>
      <c r="B1198" s="151" t="s">
        <v>2924</v>
      </c>
    </row>
    <row r="1199" spans="1:2">
      <c r="A1199" s="151" t="s">
        <v>2925</v>
      </c>
      <c r="B1199" s="151" t="s">
        <v>2926</v>
      </c>
    </row>
    <row r="1200" spans="1:2">
      <c r="A1200" s="151" t="s">
        <v>2927</v>
      </c>
      <c r="B1200" s="151" t="s">
        <v>2928</v>
      </c>
    </row>
    <row r="1201" spans="1:2">
      <c r="A1201" s="151" t="s">
        <v>2929</v>
      </c>
      <c r="B1201" s="151" t="s">
        <v>2930</v>
      </c>
    </row>
    <row r="1202" spans="1:2">
      <c r="A1202" s="151" t="s">
        <v>2931</v>
      </c>
      <c r="B1202" s="151" t="s">
        <v>2932</v>
      </c>
    </row>
    <row r="1203" spans="1:2">
      <c r="A1203" s="151" t="s">
        <v>2933</v>
      </c>
      <c r="B1203" s="151" t="s">
        <v>2934</v>
      </c>
    </row>
    <row r="1204" spans="1:2">
      <c r="A1204" s="151" t="s">
        <v>2935</v>
      </c>
      <c r="B1204" s="151" t="s">
        <v>2936</v>
      </c>
    </row>
    <row r="1205" spans="1:2">
      <c r="A1205" s="151" t="s">
        <v>2937</v>
      </c>
      <c r="B1205" s="151" t="s">
        <v>2938</v>
      </c>
    </row>
    <row r="1206" spans="1:2">
      <c r="A1206" s="151" t="s">
        <v>2939</v>
      </c>
      <c r="B1206" s="151" t="s">
        <v>2940</v>
      </c>
    </row>
    <row r="1207" spans="1:2">
      <c r="A1207" s="151" t="s">
        <v>2941</v>
      </c>
      <c r="B1207" s="151" t="s">
        <v>2942</v>
      </c>
    </row>
    <row r="1208" spans="1:2">
      <c r="A1208" s="151" t="s">
        <v>2943</v>
      </c>
      <c r="B1208" s="151" t="s">
        <v>2944</v>
      </c>
    </row>
    <row r="1209" spans="1:2">
      <c r="A1209" s="151" t="s">
        <v>2945</v>
      </c>
      <c r="B1209" s="151" t="s">
        <v>2946</v>
      </c>
    </row>
    <row r="1210" spans="1:2">
      <c r="A1210" s="151" t="s">
        <v>2947</v>
      </c>
      <c r="B1210" s="151" t="s">
        <v>2948</v>
      </c>
    </row>
    <row r="1211" spans="1:2">
      <c r="A1211" s="151" t="s">
        <v>2949</v>
      </c>
      <c r="B1211" s="151" t="s">
        <v>2950</v>
      </c>
    </row>
    <row r="1212" spans="1:2">
      <c r="A1212" s="151" t="s">
        <v>2951</v>
      </c>
      <c r="B1212" s="151" t="s">
        <v>2952</v>
      </c>
    </row>
    <row r="1213" spans="1:2">
      <c r="A1213" s="151" t="s">
        <v>2953</v>
      </c>
      <c r="B1213" s="151" t="s">
        <v>2954</v>
      </c>
    </row>
    <row r="1214" spans="1:2">
      <c r="A1214" s="151" t="s">
        <v>2955</v>
      </c>
      <c r="B1214" s="151" t="s">
        <v>2956</v>
      </c>
    </row>
    <row r="1215" spans="1:2">
      <c r="A1215" s="151" t="s">
        <v>2957</v>
      </c>
      <c r="B1215" s="151" t="s">
        <v>2958</v>
      </c>
    </row>
    <row r="1216" spans="1:2">
      <c r="A1216" s="151" t="s">
        <v>2959</v>
      </c>
      <c r="B1216" s="151" t="s">
        <v>2960</v>
      </c>
    </row>
    <row r="1217" spans="1:2">
      <c r="A1217" s="151" t="s">
        <v>2961</v>
      </c>
      <c r="B1217" s="151" t="s">
        <v>2962</v>
      </c>
    </row>
    <row r="1218" spans="1:2">
      <c r="A1218" s="151" t="s">
        <v>2963</v>
      </c>
      <c r="B1218" s="151" t="s">
        <v>2964</v>
      </c>
    </row>
    <row r="1219" spans="1:2">
      <c r="A1219" s="151" t="s">
        <v>2965</v>
      </c>
      <c r="B1219" s="151" t="s">
        <v>2966</v>
      </c>
    </row>
    <row r="1220" spans="1:2">
      <c r="A1220" s="151" t="s">
        <v>2967</v>
      </c>
      <c r="B1220" s="151" t="s">
        <v>2968</v>
      </c>
    </row>
    <row r="1221" spans="1:2">
      <c r="A1221" s="151" t="s">
        <v>2969</v>
      </c>
      <c r="B1221" s="151" t="s">
        <v>2970</v>
      </c>
    </row>
    <row r="1222" spans="1:2">
      <c r="A1222" s="151" t="s">
        <v>2971</v>
      </c>
      <c r="B1222" s="151" t="s">
        <v>2972</v>
      </c>
    </row>
    <row r="1223" spans="1:2">
      <c r="A1223" s="151" t="s">
        <v>2973</v>
      </c>
      <c r="B1223" s="151" t="s">
        <v>2974</v>
      </c>
    </row>
    <row r="1224" spans="1:2">
      <c r="A1224" s="151" t="s">
        <v>2975</v>
      </c>
      <c r="B1224" s="151" t="s">
        <v>2976</v>
      </c>
    </row>
    <row r="1225" spans="1:2">
      <c r="A1225" s="151" t="s">
        <v>2977</v>
      </c>
      <c r="B1225" s="151" t="s">
        <v>2978</v>
      </c>
    </row>
    <row r="1226" spans="1:2">
      <c r="A1226" s="151" t="s">
        <v>2979</v>
      </c>
      <c r="B1226" s="151" t="s">
        <v>2980</v>
      </c>
    </row>
    <row r="1227" spans="1:2">
      <c r="A1227" s="151" t="s">
        <v>2981</v>
      </c>
      <c r="B1227" s="151" t="s">
        <v>2982</v>
      </c>
    </row>
    <row r="1228" spans="1:2">
      <c r="A1228" s="151" t="s">
        <v>2983</v>
      </c>
      <c r="B1228" s="151" t="s">
        <v>2984</v>
      </c>
    </row>
    <row r="1229" spans="1:2">
      <c r="A1229" s="151" t="s">
        <v>2985</v>
      </c>
      <c r="B1229" s="151" t="s">
        <v>2986</v>
      </c>
    </row>
    <row r="1230" spans="1:2">
      <c r="A1230" s="151" t="s">
        <v>2987</v>
      </c>
      <c r="B1230" s="151" t="s">
        <v>2988</v>
      </c>
    </row>
    <row r="1231" spans="1:2">
      <c r="A1231" s="151" t="s">
        <v>2989</v>
      </c>
      <c r="B1231" s="151" t="s">
        <v>2990</v>
      </c>
    </row>
    <row r="1232" spans="1:2">
      <c r="A1232" s="151" t="s">
        <v>2991</v>
      </c>
      <c r="B1232" s="151" t="s">
        <v>2992</v>
      </c>
    </row>
    <row r="1233" spans="1:2">
      <c r="A1233" s="151" t="s">
        <v>2993</v>
      </c>
      <c r="B1233" s="151" t="s">
        <v>2994</v>
      </c>
    </row>
    <row r="1234" spans="1:2">
      <c r="A1234" s="151" t="s">
        <v>2995</v>
      </c>
      <c r="B1234" s="151" t="s">
        <v>2996</v>
      </c>
    </row>
    <row r="1235" spans="1:2">
      <c r="A1235" s="151" t="s">
        <v>2997</v>
      </c>
      <c r="B1235" s="151" t="s">
        <v>2998</v>
      </c>
    </row>
    <row r="1236" spans="1:2">
      <c r="A1236" s="151" t="s">
        <v>2999</v>
      </c>
      <c r="B1236" s="151" t="s">
        <v>3000</v>
      </c>
    </row>
    <row r="1237" spans="1:2">
      <c r="A1237" s="151" t="s">
        <v>3001</v>
      </c>
      <c r="B1237" s="151" t="s">
        <v>3002</v>
      </c>
    </row>
    <row r="1238" spans="1:2">
      <c r="A1238" s="151" t="s">
        <v>3003</v>
      </c>
      <c r="B1238" s="151" t="s">
        <v>3004</v>
      </c>
    </row>
    <row r="1239" spans="1:2">
      <c r="A1239" s="151" t="s">
        <v>3005</v>
      </c>
      <c r="B1239" s="151" t="s">
        <v>3006</v>
      </c>
    </row>
    <row r="1240" spans="1:2">
      <c r="A1240" s="151" t="s">
        <v>3007</v>
      </c>
      <c r="B1240" s="151" t="s">
        <v>3008</v>
      </c>
    </row>
    <row r="1241" spans="1:2">
      <c r="A1241" s="151" t="s">
        <v>3009</v>
      </c>
      <c r="B1241" s="151" t="s">
        <v>3010</v>
      </c>
    </row>
    <row r="1242" spans="1:2">
      <c r="A1242" s="151" t="s">
        <v>3011</v>
      </c>
      <c r="B1242" s="151" t="s">
        <v>3012</v>
      </c>
    </row>
    <row r="1243" spans="1:2">
      <c r="A1243" s="151" t="s">
        <v>3013</v>
      </c>
      <c r="B1243" s="151" t="s">
        <v>3014</v>
      </c>
    </row>
    <row r="1244" spans="1:2">
      <c r="A1244" s="151" t="s">
        <v>3015</v>
      </c>
      <c r="B1244" s="151" t="s">
        <v>3016</v>
      </c>
    </row>
    <row r="1245" spans="1:2">
      <c r="A1245" s="151" t="s">
        <v>3017</v>
      </c>
      <c r="B1245" s="151" t="s">
        <v>3018</v>
      </c>
    </row>
    <row r="1246" spans="1:2">
      <c r="A1246" s="151" t="s">
        <v>3019</v>
      </c>
      <c r="B1246" s="151" t="s">
        <v>3020</v>
      </c>
    </row>
    <row r="1247" spans="1:2">
      <c r="A1247" s="151" t="s">
        <v>3021</v>
      </c>
      <c r="B1247" s="151" t="s">
        <v>3022</v>
      </c>
    </row>
    <row r="1248" spans="1:2">
      <c r="A1248" s="151" t="s">
        <v>3023</v>
      </c>
      <c r="B1248" s="151" t="s">
        <v>3024</v>
      </c>
    </row>
    <row r="1249" spans="1:2">
      <c r="A1249" s="151" t="s">
        <v>3025</v>
      </c>
      <c r="B1249" s="151" t="s">
        <v>3026</v>
      </c>
    </row>
    <row r="1250" spans="1:2">
      <c r="A1250" s="151" t="s">
        <v>3027</v>
      </c>
      <c r="B1250" s="151" t="s">
        <v>3028</v>
      </c>
    </row>
    <row r="1251" spans="1:2">
      <c r="A1251" s="151" t="s">
        <v>3029</v>
      </c>
      <c r="B1251" s="151" t="s">
        <v>3030</v>
      </c>
    </row>
    <row r="1252" spans="1:2">
      <c r="A1252" s="151" t="s">
        <v>3031</v>
      </c>
      <c r="B1252" s="151" t="s">
        <v>3032</v>
      </c>
    </row>
    <row r="1253" spans="1:2">
      <c r="A1253" s="151" t="s">
        <v>3033</v>
      </c>
      <c r="B1253" s="151" t="s">
        <v>3034</v>
      </c>
    </row>
    <row r="1254" spans="1:2">
      <c r="A1254" s="151" t="s">
        <v>3035</v>
      </c>
      <c r="B1254" s="151" t="s">
        <v>3036</v>
      </c>
    </row>
    <row r="1255" spans="1:2">
      <c r="A1255" s="151" t="s">
        <v>3037</v>
      </c>
      <c r="B1255" s="151" t="s">
        <v>3038</v>
      </c>
    </row>
    <row r="1256" spans="1:2">
      <c r="A1256" s="151" t="s">
        <v>3039</v>
      </c>
      <c r="B1256" s="151" t="s">
        <v>3040</v>
      </c>
    </row>
    <row r="1257" spans="1:2">
      <c r="A1257" s="151" t="s">
        <v>3041</v>
      </c>
      <c r="B1257" s="151" t="s">
        <v>3042</v>
      </c>
    </row>
    <row r="1258" spans="1:2">
      <c r="A1258" s="151" t="s">
        <v>3043</v>
      </c>
      <c r="B1258" s="151" t="s">
        <v>3044</v>
      </c>
    </row>
    <row r="1259" spans="1:2">
      <c r="A1259" s="151" t="s">
        <v>3045</v>
      </c>
      <c r="B1259" s="151" t="s">
        <v>3046</v>
      </c>
    </row>
    <row r="1260" spans="1:2">
      <c r="A1260" s="151" t="s">
        <v>3047</v>
      </c>
      <c r="B1260" s="151" t="s">
        <v>3048</v>
      </c>
    </row>
    <row r="1261" spans="1:2">
      <c r="A1261" s="151" t="s">
        <v>3049</v>
      </c>
      <c r="B1261" s="151" t="s">
        <v>3050</v>
      </c>
    </row>
    <row r="1262" spans="1:2">
      <c r="A1262" s="151" t="s">
        <v>3051</v>
      </c>
      <c r="B1262" s="151" t="s">
        <v>303</v>
      </c>
    </row>
    <row r="1263" spans="1:2">
      <c r="A1263" s="151" t="s">
        <v>3052</v>
      </c>
      <c r="B1263" s="151" t="s">
        <v>3053</v>
      </c>
    </row>
    <row r="1264" spans="1:2">
      <c r="A1264" s="151" t="s">
        <v>3054</v>
      </c>
      <c r="B1264" s="151" t="s">
        <v>3055</v>
      </c>
    </row>
    <row r="1265" spans="1:2">
      <c r="A1265" s="151" t="s">
        <v>3056</v>
      </c>
      <c r="B1265" s="151" t="s">
        <v>3057</v>
      </c>
    </row>
    <row r="1266" spans="1:2">
      <c r="A1266" s="151" t="s">
        <v>3058</v>
      </c>
      <c r="B1266" s="151" t="s">
        <v>3059</v>
      </c>
    </row>
    <row r="1267" spans="1:2">
      <c r="A1267" s="151" t="s">
        <v>3060</v>
      </c>
      <c r="B1267" s="151" t="s">
        <v>3061</v>
      </c>
    </row>
    <row r="1268" spans="1:2">
      <c r="A1268" s="151" t="s">
        <v>3062</v>
      </c>
      <c r="B1268" s="151" t="s">
        <v>3063</v>
      </c>
    </row>
    <row r="1269" spans="1:2">
      <c r="A1269" s="151" t="s">
        <v>3064</v>
      </c>
      <c r="B1269" s="151" t="s">
        <v>308</v>
      </c>
    </row>
    <row r="1270" spans="1:2">
      <c r="A1270" s="151" t="s">
        <v>3065</v>
      </c>
      <c r="B1270" s="151" t="s">
        <v>3066</v>
      </c>
    </row>
    <row r="1271" spans="1:2">
      <c r="A1271" s="151" t="s">
        <v>3067</v>
      </c>
      <c r="B1271" s="151" t="s">
        <v>3068</v>
      </c>
    </row>
    <row r="1272" spans="1:2">
      <c r="A1272" s="151" t="s">
        <v>3069</v>
      </c>
      <c r="B1272" s="151" t="s">
        <v>3070</v>
      </c>
    </row>
    <row r="1273" spans="1:2">
      <c r="A1273" s="151" t="s">
        <v>3071</v>
      </c>
      <c r="B1273" s="151" t="s">
        <v>3072</v>
      </c>
    </row>
    <row r="1274" spans="1:2">
      <c r="A1274" s="151" t="s">
        <v>3073</v>
      </c>
      <c r="B1274" s="151" t="s">
        <v>3074</v>
      </c>
    </row>
    <row r="1275" spans="1:2">
      <c r="A1275" s="151" t="s">
        <v>3075</v>
      </c>
      <c r="B1275" s="151" t="s">
        <v>3076</v>
      </c>
    </row>
    <row r="1276" spans="1:2">
      <c r="A1276" s="151" t="s">
        <v>3077</v>
      </c>
      <c r="B1276" s="151" t="s">
        <v>3078</v>
      </c>
    </row>
    <row r="1277" spans="1:2">
      <c r="A1277" s="151" t="s">
        <v>3079</v>
      </c>
      <c r="B1277" s="151" t="s">
        <v>3080</v>
      </c>
    </row>
    <row r="1278" spans="1:2">
      <c r="A1278" s="151" t="s">
        <v>3081</v>
      </c>
      <c r="B1278" s="151" t="s">
        <v>3082</v>
      </c>
    </row>
    <row r="1279" spans="1:2">
      <c r="A1279" s="151" t="s">
        <v>3083</v>
      </c>
      <c r="B1279" s="151" t="s">
        <v>313</v>
      </c>
    </row>
    <row r="1280" spans="1:2">
      <c r="A1280" s="151" t="s">
        <v>3084</v>
      </c>
      <c r="B1280" s="151" t="s">
        <v>3085</v>
      </c>
    </row>
    <row r="1281" spans="1:2">
      <c r="A1281" s="151" t="s">
        <v>3086</v>
      </c>
      <c r="B1281" s="151" t="s">
        <v>3087</v>
      </c>
    </row>
    <row r="1282" spans="1:2">
      <c r="A1282" s="151" t="s">
        <v>3088</v>
      </c>
      <c r="B1282" s="151" t="s">
        <v>3089</v>
      </c>
    </row>
    <row r="1283" spans="1:2">
      <c r="A1283" s="151" t="s">
        <v>3090</v>
      </c>
      <c r="B1283" s="151" t="s">
        <v>318</v>
      </c>
    </row>
    <row r="1284" spans="1:2">
      <c r="A1284" s="151" t="s">
        <v>3091</v>
      </c>
      <c r="B1284" s="151" t="s">
        <v>323</v>
      </c>
    </row>
    <row r="1285" spans="1:2">
      <c r="A1285" s="151" t="s">
        <v>3092</v>
      </c>
      <c r="B1285" s="151" t="s">
        <v>328</v>
      </c>
    </row>
    <row r="1286" spans="1:2">
      <c r="A1286" s="151" t="s">
        <v>3093</v>
      </c>
      <c r="B1286" s="151" t="s">
        <v>3094</v>
      </c>
    </row>
    <row r="1287" spans="1:2">
      <c r="A1287" s="151" t="s">
        <v>3095</v>
      </c>
      <c r="B1287" s="151" t="s">
        <v>3096</v>
      </c>
    </row>
    <row r="1288" spans="1:2">
      <c r="A1288" s="151" t="s">
        <v>3097</v>
      </c>
      <c r="B1288" s="151" t="s">
        <v>3098</v>
      </c>
    </row>
    <row r="1289" spans="1:2">
      <c r="A1289" s="151" t="s">
        <v>3099</v>
      </c>
      <c r="B1289" s="151" t="s">
        <v>3100</v>
      </c>
    </row>
    <row r="1290" spans="1:2">
      <c r="A1290" s="151" t="s">
        <v>3101</v>
      </c>
      <c r="B1290" s="151" t="s">
        <v>3102</v>
      </c>
    </row>
    <row r="1291" spans="1:2">
      <c r="A1291" s="151" t="s">
        <v>3103</v>
      </c>
      <c r="B1291" s="151" t="s">
        <v>3104</v>
      </c>
    </row>
    <row r="1292" spans="1:2">
      <c r="A1292" s="151" t="s">
        <v>3105</v>
      </c>
      <c r="B1292" s="151" t="s">
        <v>3106</v>
      </c>
    </row>
    <row r="1293" spans="1:2">
      <c r="A1293" s="151" t="s">
        <v>3107</v>
      </c>
      <c r="B1293" s="151" t="s">
        <v>3108</v>
      </c>
    </row>
    <row r="1294" spans="1:2">
      <c r="A1294" s="151" t="s">
        <v>3109</v>
      </c>
      <c r="B1294" s="151" t="s">
        <v>3110</v>
      </c>
    </row>
    <row r="1295" spans="1:2">
      <c r="A1295" s="151" t="s">
        <v>3111</v>
      </c>
      <c r="B1295" s="151" t="s">
        <v>3112</v>
      </c>
    </row>
    <row r="1296" spans="1:2">
      <c r="A1296" s="151" t="s">
        <v>3113</v>
      </c>
      <c r="B1296" s="151" t="s">
        <v>3114</v>
      </c>
    </row>
    <row r="1297" spans="1:2">
      <c r="A1297" s="151" t="s">
        <v>3115</v>
      </c>
      <c r="B1297" s="151" t="s">
        <v>3116</v>
      </c>
    </row>
    <row r="1298" spans="1:2">
      <c r="A1298" s="151" t="s">
        <v>3117</v>
      </c>
      <c r="B1298" s="151" t="s">
        <v>3118</v>
      </c>
    </row>
    <row r="1299" spans="1:2">
      <c r="A1299" s="151" t="s">
        <v>3119</v>
      </c>
      <c r="B1299" s="151" t="s">
        <v>3120</v>
      </c>
    </row>
    <row r="1300" spans="1:2">
      <c r="A1300" s="151" t="s">
        <v>3121</v>
      </c>
      <c r="B1300" s="151" t="s">
        <v>333</v>
      </c>
    </row>
    <row r="1301" spans="1:2">
      <c r="A1301" s="151" t="s">
        <v>3122</v>
      </c>
      <c r="B1301" s="151" t="s">
        <v>3123</v>
      </c>
    </row>
    <row r="1302" spans="1:2">
      <c r="A1302" s="151" t="s">
        <v>3124</v>
      </c>
      <c r="B1302" s="151" t="s">
        <v>3125</v>
      </c>
    </row>
    <row r="1303" spans="1:2">
      <c r="A1303" s="151" t="s">
        <v>3126</v>
      </c>
      <c r="B1303" s="151" t="s">
        <v>338</v>
      </c>
    </row>
    <row r="1304" spans="1:2">
      <c r="A1304" s="151" t="s">
        <v>3127</v>
      </c>
      <c r="B1304" s="151" t="s">
        <v>3128</v>
      </c>
    </row>
    <row r="1305" spans="1:2">
      <c r="A1305" s="151" t="s">
        <v>3129</v>
      </c>
      <c r="B1305" s="151" t="s">
        <v>3130</v>
      </c>
    </row>
    <row r="1306" spans="1:2">
      <c r="A1306" s="151" t="s">
        <v>3131</v>
      </c>
      <c r="B1306" s="151" t="s">
        <v>3132</v>
      </c>
    </row>
    <row r="1307" spans="1:2">
      <c r="A1307" s="151" t="s">
        <v>3133</v>
      </c>
      <c r="B1307" s="151" t="s">
        <v>3134</v>
      </c>
    </row>
    <row r="1308" spans="1:2">
      <c r="A1308" s="151" t="s">
        <v>3135</v>
      </c>
      <c r="B1308" s="151" t="s">
        <v>3136</v>
      </c>
    </row>
    <row r="1309" spans="1:2">
      <c r="A1309" s="151" t="s">
        <v>3137</v>
      </c>
      <c r="B1309" s="151" t="s">
        <v>3138</v>
      </c>
    </row>
    <row r="1310" spans="1:2">
      <c r="A1310" s="151" t="s">
        <v>3139</v>
      </c>
      <c r="B1310" s="151" t="s">
        <v>3140</v>
      </c>
    </row>
    <row r="1311" spans="1:2">
      <c r="A1311" s="151" t="s">
        <v>3141</v>
      </c>
      <c r="B1311" s="151" t="s">
        <v>3142</v>
      </c>
    </row>
    <row r="1312" spans="1:2">
      <c r="A1312" s="151" t="s">
        <v>3143</v>
      </c>
      <c r="B1312" s="151" t="s">
        <v>3144</v>
      </c>
    </row>
    <row r="1313" spans="1:2">
      <c r="A1313" s="151" t="s">
        <v>3145</v>
      </c>
      <c r="B1313" s="151" t="s">
        <v>3146</v>
      </c>
    </row>
    <row r="1314" spans="1:2">
      <c r="A1314" s="151" t="s">
        <v>3147</v>
      </c>
      <c r="B1314" s="151" t="s">
        <v>3148</v>
      </c>
    </row>
    <row r="1315" spans="1:2">
      <c r="A1315" s="151" t="s">
        <v>3149</v>
      </c>
      <c r="B1315" s="151" t="s">
        <v>3150</v>
      </c>
    </row>
    <row r="1316" spans="1:2">
      <c r="A1316" s="151" t="s">
        <v>3151</v>
      </c>
      <c r="B1316" s="151" t="s">
        <v>3152</v>
      </c>
    </row>
    <row r="1317" spans="1:2">
      <c r="A1317" s="151" t="s">
        <v>3153</v>
      </c>
      <c r="B1317" s="151" t="s">
        <v>3154</v>
      </c>
    </row>
    <row r="1318" spans="1:2">
      <c r="A1318" s="151" t="s">
        <v>3155</v>
      </c>
      <c r="B1318" s="151" t="s">
        <v>3156</v>
      </c>
    </row>
    <row r="1319" spans="1:2">
      <c r="A1319" s="151" t="s">
        <v>3157</v>
      </c>
      <c r="B1319" s="151" t="s">
        <v>3158</v>
      </c>
    </row>
    <row r="1320" spans="1:2">
      <c r="A1320" s="151" t="s">
        <v>3159</v>
      </c>
      <c r="B1320" s="151" t="s">
        <v>3160</v>
      </c>
    </row>
    <row r="1321" spans="1:2">
      <c r="A1321" s="151" t="s">
        <v>3161</v>
      </c>
      <c r="B1321" s="151" t="s">
        <v>3162</v>
      </c>
    </row>
    <row r="1322" spans="1:2">
      <c r="A1322" s="151" t="s">
        <v>3163</v>
      </c>
      <c r="B1322" s="151" t="s">
        <v>3164</v>
      </c>
    </row>
    <row r="1323" spans="1:2">
      <c r="A1323" s="151" t="s">
        <v>3165</v>
      </c>
      <c r="B1323" s="151" t="s">
        <v>3166</v>
      </c>
    </row>
    <row r="1324" spans="1:2">
      <c r="A1324" s="151" t="s">
        <v>3167</v>
      </c>
      <c r="B1324" s="151" t="s">
        <v>3168</v>
      </c>
    </row>
    <row r="1325" spans="1:2">
      <c r="A1325" s="151" t="s">
        <v>3169</v>
      </c>
      <c r="B1325" s="151" t="s">
        <v>3170</v>
      </c>
    </row>
    <row r="1326" spans="1:2">
      <c r="A1326" s="151" t="s">
        <v>3171</v>
      </c>
      <c r="B1326" s="151" t="s">
        <v>3172</v>
      </c>
    </row>
    <row r="1327" spans="1:2">
      <c r="A1327" s="151" t="s">
        <v>3173</v>
      </c>
      <c r="B1327" s="151" t="s">
        <v>3174</v>
      </c>
    </row>
    <row r="1328" spans="1:2">
      <c r="A1328" s="151" t="s">
        <v>3175</v>
      </c>
      <c r="B1328" s="151" t="s">
        <v>3176</v>
      </c>
    </row>
    <row r="1329" spans="1:2">
      <c r="A1329" s="151" t="s">
        <v>3177</v>
      </c>
      <c r="B1329" s="151" t="s">
        <v>3178</v>
      </c>
    </row>
    <row r="1330" spans="1:2">
      <c r="A1330" s="151" t="s">
        <v>3179</v>
      </c>
      <c r="B1330" s="151" t="s">
        <v>3180</v>
      </c>
    </row>
    <row r="1331" spans="1:2">
      <c r="A1331" s="151" t="s">
        <v>3181</v>
      </c>
      <c r="B1331" s="151" t="s">
        <v>3182</v>
      </c>
    </row>
    <row r="1332" spans="1:2">
      <c r="A1332" s="151" t="s">
        <v>3183</v>
      </c>
      <c r="B1332" s="151" t="s">
        <v>3184</v>
      </c>
    </row>
    <row r="1333" spans="1:2">
      <c r="A1333" s="151" t="s">
        <v>3185</v>
      </c>
      <c r="B1333" s="151" t="s">
        <v>3186</v>
      </c>
    </row>
    <row r="1334" spans="1:2">
      <c r="A1334" s="151" t="s">
        <v>3187</v>
      </c>
      <c r="B1334" s="151" t="s">
        <v>3188</v>
      </c>
    </row>
    <row r="1335" spans="1:2">
      <c r="A1335" s="151" t="s">
        <v>3189</v>
      </c>
      <c r="B1335" s="151" t="s">
        <v>3190</v>
      </c>
    </row>
    <row r="1336" spans="1:2">
      <c r="A1336" s="151" t="s">
        <v>3191</v>
      </c>
      <c r="B1336" s="151" t="s">
        <v>3192</v>
      </c>
    </row>
    <row r="1337" spans="1:2">
      <c r="A1337" s="151" t="s">
        <v>3193</v>
      </c>
      <c r="B1337" s="151" t="s">
        <v>3194</v>
      </c>
    </row>
    <row r="1338" spans="1:2">
      <c r="A1338" s="151" t="s">
        <v>3195</v>
      </c>
      <c r="B1338" s="151" t="s">
        <v>3196</v>
      </c>
    </row>
    <row r="1339" spans="1:2">
      <c r="A1339" s="151" t="s">
        <v>3197</v>
      </c>
      <c r="B1339" s="151" t="s">
        <v>3198</v>
      </c>
    </row>
    <row r="1340" spans="1:2">
      <c r="A1340" s="151" t="s">
        <v>3199</v>
      </c>
      <c r="B1340" s="151" t="s">
        <v>3200</v>
      </c>
    </row>
    <row r="1341" spans="1:2">
      <c r="A1341" s="151" t="s">
        <v>3201</v>
      </c>
      <c r="B1341" s="151" t="s">
        <v>3202</v>
      </c>
    </row>
    <row r="1342" spans="1:2">
      <c r="A1342" s="151" t="s">
        <v>3203</v>
      </c>
      <c r="B1342" s="151" t="s">
        <v>3204</v>
      </c>
    </row>
    <row r="1343" spans="1:2">
      <c r="A1343" s="151" t="s">
        <v>3205</v>
      </c>
      <c r="B1343" s="151" t="s">
        <v>3206</v>
      </c>
    </row>
    <row r="1344" spans="1:2">
      <c r="A1344" s="151" t="s">
        <v>3207</v>
      </c>
      <c r="B1344" s="151" t="s">
        <v>3208</v>
      </c>
    </row>
    <row r="1345" spans="1:2">
      <c r="A1345" s="151" t="s">
        <v>3209</v>
      </c>
      <c r="B1345" s="151" t="s">
        <v>3210</v>
      </c>
    </row>
    <row r="1346" spans="1:2">
      <c r="A1346" s="151" t="s">
        <v>3211</v>
      </c>
      <c r="B1346" s="151" t="s">
        <v>3212</v>
      </c>
    </row>
    <row r="1347" spans="1:2">
      <c r="A1347" s="151" t="s">
        <v>3213</v>
      </c>
      <c r="B1347" s="151" t="s">
        <v>3214</v>
      </c>
    </row>
    <row r="1348" spans="1:2">
      <c r="A1348" s="151" t="s">
        <v>3215</v>
      </c>
      <c r="B1348" s="151" t="s">
        <v>3216</v>
      </c>
    </row>
    <row r="1349" spans="1:2">
      <c r="A1349" s="151" t="s">
        <v>3217</v>
      </c>
      <c r="B1349" s="151" t="s">
        <v>3218</v>
      </c>
    </row>
    <row r="1350" spans="1:2">
      <c r="A1350" s="151" t="s">
        <v>3219</v>
      </c>
      <c r="B1350" s="151" t="s">
        <v>3220</v>
      </c>
    </row>
    <row r="1351" spans="1:2">
      <c r="A1351" s="151" t="s">
        <v>3221</v>
      </c>
      <c r="B1351" s="151" t="s">
        <v>3222</v>
      </c>
    </row>
    <row r="1352" spans="1:2">
      <c r="A1352" s="151" t="s">
        <v>3223</v>
      </c>
      <c r="B1352" s="151" t="s">
        <v>3224</v>
      </c>
    </row>
    <row r="1353" spans="1:2">
      <c r="A1353" s="151" t="s">
        <v>3225</v>
      </c>
      <c r="B1353" s="151" t="s">
        <v>3226</v>
      </c>
    </row>
    <row r="1354" spans="1:2">
      <c r="A1354" s="151" t="s">
        <v>3227</v>
      </c>
      <c r="B1354" s="151" t="s">
        <v>3228</v>
      </c>
    </row>
    <row r="1355" spans="1:2">
      <c r="A1355" s="151" t="s">
        <v>3229</v>
      </c>
      <c r="B1355" s="151" t="s">
        <v>343</v>
      </c>
    </row>
    <row r="1356" spans="1:2">
      <c r="A1356" s="151" t="s">
        <v>3230</v>
      </c>
      <c r="B1356" s="151" t="s">
        <v>3231</v>
      </c>
    </row>
    <row r="1357" spans="1:2">
      <c r="A1357" s="151" t="s">
        <v>3232</v>
      </c>
      <c r="B1357" s="151" t="s">
        <v>348</v>
      </c>
    </row>
    <row r="1358" spans="1:2">
      <c r="A1358" s="151" t="s">
        <v>3233</v>
      </c>
      <c r="B1358" s="151" t="s">
        <v>3234</v>
      </c>
    </row>
    <row r="1359" spans="1:2">
      <c r="A1359" s="151" t="s">
        <v>3235</v>
      </c>
      <c r="B1359" s="151" t="s">
        <v>3236</v>
      </c>
    </row>
    <row r="1360" spans="1:2">
      <c r="A1360" s="151" t="s">
        <v>3237</v>
      </c>
      <c r="B1360" s="151" t="s">
        <v>3238</v>
      </c>
    </row>
    <row r="1361" spans="1:2">
      <c r="A1361" s="151" t="s">
        <v>3239</v>
      </c>
      <c r="B1361" s="151" t="s">
        <v>3240</v>
      </c>
    </row>
    <row r="1362" spans="1:2">
      <c r="A1362" s="151" t="s">
        <v>3241</v>
      </c>
      <c r="B1362" s="151" t="s">
        <v>3242</v>
      </c>
    </row>
    <row r="1363" spans="1:2">
      <c r="A1363" s="151" t="s">
        <v>3243</v>
      </c>
      <c r="B1363" s="151" t="s">
        <v>3244</v>
      </c>
    </row>
    <row r="1364" spans="1:2">
      <c r="A1364" s="151" t="s">
        <v>3245</v>
      </c>
      <c r="B1364" s="151" t="s">
        <v>3246</v>
      </c>
    </row>
    <row r="1365" spans="1:2">
      <c r="A1365" s="151" t="s">
        <v>3247</v>
      </c>
      <c r="B1365" s="151" t="s">
        <v>3248</v>
      </c>
    </row>
    <row r="1366" spans="1:2">
      <c r="A1366" s="151" t="s">
        <v>3249</v>
      </c>
      <c r="B1366" s="151" t="s">
        <v>3250</v>
      </c>
    </row>
    <row r="1367" spans="1:2">
      <c r="A1367" s="151" t="s">
        <v>3251</v>
      </c>
      <c r="B1367" s="151" t="s">
        <v>3252</v>
      </c>
    </row>
    <row r="1368" spans="1:2">
      <c r="A1368" s="151" t="s">
        <v>3253</v>
      </c>
      <c r="B1368" s="151" t="s">
        <v>3254</v>
      </c>
    </row>
    <row r="1369" spans="1:2">
      <c r="A1369" s="151" t="s">
        <v>3255</v>
      </c>
      <c r="B1369" s="151" t="s">
        <v>3256</v>
      </c>
    </row>
    <row r="1370" spans="1:2">
      <c r="A1370" s="151" t="s">
        <v>3257</v>
      </c>
      <c r="B1370" s="151" t="s">
        <v>3258</v>
      </c>
    </row>
    <row r="1371" spans="1:2">
      <c r="A1371" s="151" t="s">
        <v>3259</v>
      </c>
      <c r="B1371" s="151" t="s">
        <v>3260</v>
      </c>
    </row>
    <row r="1372" spans="1:2">
      <c r="A1372" s="151" t="s">
        <v>3261</v>
      </c>
      <c r="B1372" s="151" t="s">
        <v>3262</v>
      </c>
    </row>
    <row r="1373" spans="1:2">
      <c r="A1373" s="151" t="s">
        <v>3263</v>
      </c>
      <c r="B1373" s="151" t="s">
        <v>3264</v>
      </c>
    </row>
    <row r="1374" spans="1:2">
      <c r="A1374" s="151" t="s">
        <v>3265</v>
      </c>
      <c r="B1374" s="151" t="s">
        <v>3266</v>
      </c>
    </row>
    <row r="1375" spans="1:2">
      <c r="A1375" s="151" t="s">
        <v>3267</v>
      </c>
      <c r="B1375" s="151" t="s">
        <v>3268</v>
      </c>
    </row>
    <row r="1376" spans="1:2">
      <c r="A1376" s="151" t="s">
        <v>3269</v>
      </c>
      <c r="B1376" s="151" t="s">
        <v>3270</v>
      </c>
    </row>
    <row r="1377" spans="1:2">
      <c r="A1377" s="151" t="s">
        <v>3271</v>
      </c>
      <c r="B1377" s="151" t="s">
        <v>3272</v>
      </c>
    </row>
    <row r="1378" spans="1:2">
      <c r="A1378" s="151" t="s">
        <v>3273</v>
      </c>
      <c r="B1378" s="151" t="s">
        <v>3274</v>
      </c>
    </row>
    <row r="1379" spans="1:2">
      <c r="A1379" s="151" t="s">
        <v>3275</v>
      </c>
      <c r="B1379" s="151" t="s">
        <v>3276</v>
      </c>
    </row>
    <row r="1380" spans="1:2">
      <c r="A1380" s="151" t="s">
        <v>3277</v>
      </c>
      <c r="B1380" s="151" t="s">
        <v>3278</v>
      </c>
    </row>
    <row r="1381" spans="1:2">
      <c r="A1381" s="151" t="s">
        <v>3279</v>
      </c>
      <c r="B1381" s="151" t="s">
        <v>3280</v>
      </c>
    </row>
    <row r="1382" spans="1:2">
      <c r="A1382" s="151" t="s">
        <v>3281</v>
      </c>
      <c r="B1382" s="151" t="s">
        <v>3282</v>
      </c>
    </row>
    <row r="1383" spans="1:2">
      <c r="A1383" s="151" t="s">
        <v>3283</v>
      </c>
      <c r="B1383" s="151" t="s">
        <v>3284</v>
      </c>
    </row>
    <row r="1384" spans="1:2">
      <c r="A1384" s="151" t="s">
        <v>3285</v>
      </c>
      <c r="B1384" s="151" t="s">
        <v>3286</v>
      </c>
    </row>
    <row r="1385" spans="1:2">
      <c r="A1385" s="151" t="s">
        <v>3287</v>
      </c>
      <c r="B1385" s="151" t="s">
        <v>910</v>
      </c>
    </row>
    <row r="1386" spans="1:2">
      <c r="A1386" s="151" t="s">
        <v>3288</v>
      </c>
      <c r="B1386" s="151" t="s">
        <v>3289</v>
      </c>
    </row>
    <row r="1387" spans="1:2">
      <c r="A1387" s="151" t="s">
        <v>3290</v>
      </c>
      <c r="B1387" s="151" t="s">
        <v>353</v>
      </c>
    </row>
    <row r="1388" spans="1:2">
      <c r="A1388" s="151" t="s">
        <v>3291</v>
      </c>
      <c r="B1388" s="151" t="s">
        <v>3292</v>
      </c>
    </row>
    <row r="1389" spans="1:2">
      <c r="A1389" s="151" t="s">
        <v>3293</v>
      </c>
      <c r="B1389" s="151" t="s">
        <v>358</v>
      </c>
    </row>
    <row r="1390" spans="1:2">
      <c r="A1390" s="151" t="s">
        <v>3294</v>
      </c>
      <c r="B1390" s="151" t="s">
        <v>3295</v>
      </c>
    </row>
    <row r="1391" spans="1:2">
      <c r="A1391" s="151" t="s">
        <v>3296</v>
      </c>
      <c r="B1391" s="151" t="s">
        <v>363</v>
      </c>
    </row>
    <row r="1392" spans="1:2">
      <c r="A1392" s="151" t="s">
        <v>3297</v>
      </c>
      <c r="B1392" s="151" t="s">
        <v>368</v>
      </c>
    </row>
    <row r="1393" spans="1:2">
      <c r="A1393" s="151" t="s">
        <v>3298</v>
      </c>
      <c r="B1393" s="151" t="s">
        <v>120</v>
      </c>
    </row>
    <row r="1394" spans="1:2">
      <c r="A1394" s="151" t="s">
        <v>3299</v>
      </c>
      <c r="B1394" s="151" t="s">
        <v>3300</v>
      </c>
    </row>
    <row r="1395" spans="1:2">
      <c r="A1395" s="151" t="s">
        <v>3301</v>
      </c>
      <c r="B1395" s="151" t="s">
        <v>3302</v>
      </c>
    </row>
    <row r="1396" spans="1:2">
      <c r="A1396" s="151" t="s">
        <v>3303</v>
      </c>
      <c r="B1396" s="151" t="s">
        <v>3304</v>
      </c>
    </row>
    <row r="1397" spans="1:2">
      <c r="A1397" s="151" t="s">
        <v>3305</v>
      </c>
      <c r="B1397" s="151" t="s">
        <v>373</v>
      </c>
    </row>
    <row r="1398" spans="1:2">
      <c r="A1398" s="151" t="s">
        <v>3306</v>
      </c>
      <c r="B1398" s="151" t="s">
        <v>3307</v>
      </c>
    </row>
    <row r="1399" spans="1:2">
      <c r="A1399" s="151" t="s">
        <v>3308</v>
      </c>
      <c r="B1399" s="151" t="s">
        <v>3309</v>
      </c>
    </row>
    <row r="1400" spans="1:2">
      <c r="A1400" s="151" t="s">
        <v>3310</v>
      </c>
      <c r="B1400" s="151" t="s">
        <v>3311</v>
      </c>
    </row>
    <row r="1401" spans="1:2">
      <c r="A1401" s="151" t="s">
        <v>3312</v>
      </c>
      <c r="B1401" s="151" t="s">
        <v>3313</v>
      </c>
    </row>
    <row r="1402" spans="1:2">
      <c r="A1402" s="151" t="s">
        <v>3314</v>
      </c>
      <c r="B1402" s="151" t="s">
        <v>3315</v>
      </c>
    </row>
    <row r="1403" spans="1:2">
      <c r="A1403" s="151" t="s">
        <v>3316</v>
      </c>
      <c r="B1403" s="151" t="s">
        <v>3317</v>
      </c>
    </row>
    <row r="1404" spans="1:2">
      <c r="A1404" s="151" t="s">
        <v>3318</v>
      </c>
      <c r="B1404" s="151" t="s">
        <v>3319</v>
      </c>
    </row>
    <row r="1405" spans="1:2">
      <c r="A1405" s="151" t="s">
        <v>3320</v>
      </c>
      <c r="B1405" s="151" t="s">
        <v>3321</v>
      </c>
    </row>
    <row r="1406" spans="1:2">
      <c r="A1406" s="151" t="s">
        <v>3322</v>
      </c>
      <c r="B1406" s="151" t="s">
        <v>3323</v>
      </c>
    </row>
    <row r="1407" spans="1:2">
      <c r="A1407" s="151" t="s">
        <v>3324</v>
      </c>
      <c r="B1407" s="151" t="s">
        <v>3325</v>
      </c>
    </row>
    <row r="1408" spans="1:2">
      <c r="A1408" s="151" t="s">
        <v>3326</v>
      </c>
      <c r="B1408" s="151" t="s">
        <v>3327</v>
      </c>
    </row>
    <row r="1409" spans="1:2">
      <c r="A1409" s="151" t="s">
        <v>3328</v>
      </c>
      <c r="B1409" s="151" t="s">
        <v>3329</v>
      </c>
    </row>
    <row r="1410" spans="1:2">
      <c r="A1410" s="151" t="s">
        <v>3330</v>
      </c>
      <c r="B1410" s="151" t="s">
        <v>3331</v>
      </c>
    </row>
    <row r="1411" spans="1:2">
      <c r="A1411" s="151" t="s">
        <v>3332</v>
      </c>
      <c r="B1411" s="151" t="s">
        <v>3333</v>
      </c>
    </row>
    <row r="1412" spans="1:2">
      <c r="A1412" s="151" t="s">
        <v>3334</v>
      </c>
      <c r="B1412" s="151" t="s">
        <v>3335</v>
      </c>
    </row>
    <row r="1413" spans="1:2">
      <c r="A1413" s="151" t="s">
        <v>3336</v>
      </c>
      <c r="B1413" s="151" t="s">
        <v>3337</v>
      </c>
    </row>
    <row r="1414" spans="1:2">
      <c r="A1414" s="151" t="s">
        <v>3338</v>
      </c>
      <c r="B1414" s="151" t="s">
        <v>3339</v>
      </c>
    </row>
    <row r="1415" spans="1:2">
      <c r="A1415" s="151" t="s">
        <v>3340</v>
      </c>
      <c r="B1415" s="151" t="s">
        <v>3341</v>
      </c>
    </row>
    <row r="1416" spans="1:2">
      <c r="A1416" s="151" t="s">
        <v>3342</v>
      </c>
      <c r="B1416" s="151" t="s">
        <v>3343</v>
      </c>
    </row>
    <row r="1417" spans="1:2">
      <c r="A1417" s="151" t="s">
        <v>3344</v>
      </c>
      <c r="B1417" s="151" t="s">
        <v>3345</v>
      </c>
    </row>
    <row r="1418" spans="1:2">
      <c r="A1418" s="151" t="s">
        <v>3346</v>
      </c>
      <c r="B1418" s="151" t="s">
        <v>3347</v>
      </c>
    </row>
    <row r="1419" spans="1:2">
      <c r="A1419" s="151" t="s">
        <v>3348</v>
      </c>
      <c r="B1419" s="151" t="s">
        <v>3349</v>
      </c>
    </row>
    <row r="1420" spans="1:2">
      <c r="A1420" s="151" t="s">
        <v>3350</v>
      </c>
      <c r="B1420" s="151" t="s">
        <v>3351</v>
      </c>
    </row>
    <row r="1421" spans="1:2">
      <c r="A1421" s="151" t="s">
        <v>3352</v>
      </c>
      <c r="B1421" s="151" t="s">
        <v>3353</v>
      </c>
    </row>
    <row r="1422" spans="1:2">
      <c r="A1422" s="151" t="s">
        <v>3354</v>
      </c>
      <c r="B1422" s="151" t="s">
        <v>3355</v>
      </c>
    </row>
    <row r="1423" spans="1:2">
      <c r="A1423" s="151" t="s">
        <v>3356</v>
      </c>
      <c r="B1423" s="151" t="s">
        <v>3357</v>
      </c>
    </row>
    <row r="1424" spans="1:2">
      <c r="A1424" s="151" t="s">
        <v>3358</v>
      </c>
      <c r="B1424" s="151" t="s">
        <v>3359</v>
      </c>
    </row>
    <row r="1425" spans="1:2">
      <c r="A1425" s="151" t="s">
        <v>3360</v>
      </c>
      <c r="B1425" s="151" t="s">
        <v>3361</v>
      </c>
    </row>
    <row r="1426" spans="1:2">
      <c r="A1426" s="151" t="s">
        <v>3362</v>
      </c>
      <c r="B1426" s="151" t="s">
        <v>3363</v>
      </c>
    </row>
    <row r="1427" spans="1:2">
      <c r="A1427" s="151" t="s">
        <v>3364</v>
      </c>
      <c r="B1427" s="151" t="s">
        <v>3365</v>
      </c>
    </row>
    <row r="1428" spans="1:2">
      <c r="A1428" s="151" t="s">
        <v>3366</v>
      </c>
      <c r="B1428" s="151" t="s">
        <v>3367</v>
      </c>
    </row>
    <row r="1429" spans="1:2">
      <c r="A1429" s="151" t="s">
        <v>3368</v>
      </c>
      <c r="B1429" s="151" t="s">
        <v>3369</v>
      </c>
    </row>
    <row r="1430" spans="1:2">
      <c r="A1430" s="151" t="s">
        <v>3370</v>
      </c>
      <c r="B1430" s="151" t="s">
        <v>3371</v>
      </c>
    </row>
    <row r="1431" spans="1:2">
      <c r="A1431" s="151" t="s">
        <v>3372</v>
      </c>
      <c r="B1431" s="151" t="s">
        <v>3373</v>
      </c>
    </row>
    <row r="1432" spans="1:2">
      <c r="A1432" s="151" t="s">
        <v>3374</v>
      </c>
      <c r="B1432" s="151" t="s">
        <v>3375</v>
      </c>
    </row>
    <row r="1433" spans="1:2">
      <c r="A1433" s="151" t="s">
        <v>3376</v>
      </c>
      <c r="B1433" s="151" t="s">
        <v>3377</v>
      </c>
    </row>
    <row r="1434" spans="1:2">
      <c r="A1434" s="151" t="s">
        <v>3378</v>
      </c>
      <c r="B1434" s="151" t="s">
        <v>3379</v>
      </c>
    </row>
    <row r="1435" spans="1:2">
      <c r="A1435" s="151" t="s">
        <v>3380</v>
      </c>
      <c r="B1435" s="151" t="s">
        <v>3381</v>
      </c>
    </row>
    <row r="1436" spans="1:2">
      <c r="A1436" s="151" t="s">
        <v>3382</v>
      </c>
      <c r="B1436" s="151" t="s">
        <v>3383</v>
      </c>
    </row>
    <row r="1437" spans="1:2">
      <c r="A1437" s="151" t="s">
        <v>3384</v>
      </c>
      <c r="B1437" s="151" t="s">
        <v>3385</v>
      </c>
    </row>
    <row r="1438" spans="1:2">
      <c r="A1438" s="151" t="s">
        <v>3386</v>
      </c>
      <c r="B1438" s="151" t="s">
        <v>3387</v>
      </c>
    </row>
    <row r="1439" spans="1:2">
      <c r="A1439" s="151" t="s">
        <v>3388</v>
      </c>
      <c r="B1439" s="151" t="s">
        <v>3389</v>
      </c>
    </row>
    <row r="1440" spans="1:2">
      <c r="A1440" s="151" t="s">
        <v>3390</v>
      </c>
      <c r="B1440" s="151" t="s">
        <v>3391</v>
      </c>
    </row>
    <row r="1441" spans="1:2">
      <c r="A1441" s="151" t="s">
        <v>3392</v>
      </c>
      <c r="B1441" s="151" t="s">
        <v>3393</v>
      </c>
    </row>
    <row r="1442" spans="1:2">
      <c r="A1442" s="151" t="s">
        <v>3394</v>
      </c>
      <c r="B1442" s="151" t="s">
        <v>3395</v>
      </c>
    </row>
    <row r="1443" spans="1:2">
      <c r="A1443" s="151" t="s">
        <v>3396</v>
      </c>
      <c r="B1443" s="151" t="s">
        <v>3397</v>
      </c>
    </row>
    <row r="1444" spans="1:2">
      <c r="A1444" s="151" t="s">
        <v>3398</v>
      </c>
      <c r="B1444" s="151" t="s">
        <v>3399</v>
      </c>
    </row>
    <row r="1445" spans="1:2">
      <c r="A1445" s="151" t="s">
        <v>3400</v>
      </c>
      <c r="B1445" s="151" t="s">
        <v>3401</v>
      </c>
    </row>
    <row r="1446" spans="1:2">
      <c r="A1446" s="151" t="s">
        <v>3402</v>
      </c>
      <c r="B1446" s="151" t="s">
        <v>3403</v>
      </c>
    </row>
    <row r="1447" spans="1:2">
      <c r="A1447" s="151" t="s">
        <v>3404</v>
      </c>
      <c r="B1447" s="151" t="s">
        <v>3405</v>
      </c>
    </row>
    <row r="1448" spans="1:2">
      <c r="A1448" s="151" t="s">
        <v>3406</v>
      </c>
      <c r="B1448" s="151" t="s">
        <v>3407</v>
      </c>
    </row>
    <row r="1449" spans="1:2">
      <c r="A1449" s="151" t="s">
        <v>3408</v>
      </c>
      <c r="B1449" s="151" t="s">
        <v>3409</v>
      </c>
    </row>
    <row r="1450" spans="1:2">
      <c r="A1450" s="151" t="s">
        <v>3410</v>
      </c>
      <c r="B1450" s="151" t="s">
        <v>3411</v>
      </c>
    </row>
    <row r="1451" spans="1:2">
      <c r="A1451" s="151" t="s">
        <v>3412</v>
      </c>
      <c r="B1451" s="151" t="s">
        <v>3413</v>
      </c>
    </row>
    <row r="1452" spans="1:2">
      <c r="A1452" s="151" t="s">
        <v>3414</v>
      </c>
      <c r="B1452" s="151" t="s">
        <v>3415</v>
      </c>
    </row>
    <row r="1453" spans="1:2">
      <c r="A1453" s="151" t="s">
        <v>3416</v>
      </c>
      <c r="B1453" s="151" t="s">
        <v>3417</v>
      </c>
    </row>
    <row r="1454" spans="1:2">
      <c r="A1454" s="151" t="s">
        <v>3418</v>
      </c>
      <c r="B1454" s="151" t="s">
        <v>3419</v>
      </c>
    </row>
    <row r="1455" spans="1:2">
      <c r="A1455" s="151" t="s">
        <v>3420</v>
      </c>
      <c r="B1455" s="151" t="s">
        <v>3421</v>
      </c>
    </row>
    <row r="1456" spans="1:2">
      <c r="A1456" s="151" t="s">
        <v>3422</v>
      </c>
      <c r="B1456" s="151" t="s">
        <v>3423</v>
      </c>
    </row>
    <row r="1457" spans="1:2">
      <c r="A1457" s="151" t="s">
        <v>3424</v>
      </c>
      <c r="B1457" s="151" t="s">
        <v>3425</v>
      </c>
    </row>
    <row r="1458" spans="1:2">
      <c r="A1458" s="151" t="s">
        <v>3426</v>
      </c>
    </row>
    <row r="1459" spans="1:2">
      <c r="A1459" s="151" t="s">
        <v>3427</v>
      </c>
    </row>
    <row r="1460" spans="1:2">
      <c r="A1460" s="151" t="s">
        <v>3428</v>
      </c>
    </row>
    <row r="1461" spans="1:2">
      <c r="A1461" s="151" t="s">
        <v>3429</v>
      </c>
    </row>
    <row r="1462" spans="1:2">
      <c r="A1462" s="151" t="s">
        <v>3430</v>
      </c>
    </row>
    <row r="1463" spans="1:2">
      <c r="A1463" s="151" t="s">
        <v>3431</v>
      </c>
    </row>
    <row r="1464" spans="1:2">
      <c r="A1464" s="151" t="s">
        <v>3432</v>
      </c>
    </row>
    <row r="1465" spans="1:2">
      <c r="A1465" s="151" t="s">
        <v>3433</v>
      </c>
    </row>
    <row r="1466" spans="1:2">
      <c r="A1466" s="151" t="s">
        <v>3434</v>
      </c>
    </row>
    <row r="1467" spans="1:2">
      <c r="A1467" s="151" t="s">
        <v>3435</v>
      </c>
    </row>
    <row r="1468" spans="1:2">
      <c r="A1468" s="151" t="s">
        <v>3436</v>
      </c>
    </row>
    <row r="1469" spans="1:2">
      <c r="A1469" s="151" t="s">
        <v>3437</v>
      </c>
    </row>
    <row r="1470" spans="1:2">
      <c r="A1470" s="151" t="s">
        <v>3438</v>
      </c>
    </row>
    <row r="1471" spans="1:2">
      <c r="A1471" s="151" t="s">
        <v>3439</v>
      </c>
    </row>
    <row r="1472" spans="1:2">
      <c r="A1472" s="151" t="s">
        <v>3440</v>
      </c>
    </row>
    <row r="1473" spans="1:1">
      <c r="A1473" s="151" t="s">
        <v>3441</v>
      </c>
    </row>
    <row r="1474" spans="1:1">
      <c r="A1474" s="151" t="s">
        <v>3442</v>
      </c>
    </row>
    <row r="1475" spans="1:1">
      <c r="A1475" s="151" t="s">
        <v>3443</v>
      </c>
    </row>
    <row r="1476" spans="1:1">
      <c r="A1476" s="151" t="s">
        <v>3444</v>
      </c>
    </row>
    <row r="1477" spans="1:1">
      <c r="A1477" s="151" t="s">
        <v>3445</v>
      </c>
    </row>
    <row r="1478" spans="1:1">
      <c r="A1478" s="151" t="s">
        <v>3446</v>
      </c>
    </row>
    <row r="1479" spans="1:1">
      <c r="A1479" s="151" t="s">
        <v>3447</v>
      </c>
    </row>
    <row r="1480" spans="1:1">
      <c r="A1480" s="151" t="s">
        <v>3448</v>
      </c>
    </row>
    <row r="1481" spans="1:1">
      <c r="A1481" s="151" t="s">
        <v>3449</v>
      </c>
    </row>
    <row r="1482" spans="1:1">
      <c r="A1482" s="151" t="s">
        <v>3450</v>
      </c>
    </row>
    <row r="1483" spans="1:1">
      <c r="A1483" s="151" t="s">
        <v>3451</v>
      </c>
    </row>
    <row r="1484" spans="1:1">
      <c r="A1484" s="151" t="s">
        <v>3452</v>
      </c>
    </row>
    <row r="1485" spans="1:1">
      <c r="A1485" s="151" t="s">
        <v>3453</v>
      </c>
    </row>
    <row r="1486" spans="1:1">
      <c r="A1486" s="151" t="s">
        <v>3454</v>
      </c>
    </row>
    <row r="1487" spans="1:1">
      <c r="A1487" s="151" t="s">
        <v>3455</v>
      </c>
    </row>
    <row r="1488" spans="1:1">
      <c r="A1488" s="151" t="s">
        <v>3456</v>
      </c>
    </row>
    <row r="1489" spans="1:1">
      <c r="A1489" s="151" t="s">
        <v>3457</v>
      </c>
    </row>
    <row r="1490" spans="1:1">
      <c r="A1490" s="151" t="s">
        <v>3458</v>
      </c>
    </row>
    <row r="1491" spans="1:1">
      <c r="A1491" s="151" t="s">
        <v>3459</v>
      </c>
    </row>
    <row r="1492" spans="1:1">
      <c r="A1492" s="151" t="s">
        <v>3460</v>
      </c>
    </row>
    <row r="1493" spans="1:1">
      <c r="A1493" s="151" t="s">
        <v>3461</v>
      </c>
    </row>
    <row r="1494" spans="1:1">
      <c r="A1494" s="151" t="s">
        <v>3462</v>
      </c>
    </row>
    <row r="1495" spans="1:1">
      <c r="A1495" s="151" t="s">
        <v>3463</v>
      </c>
    </row>
    <row r="1496" spans="1:1">
      <c r="A1496" s="151" t="s">
        <v>3464</v>
      </c>
    </row>
    <row r="1497" spans="1:1">
      <c r="A1497" s="151" t="s">
        <v>3465</v>
      </c>
    </row>
    <row r="1498" spans="1:1">
      <c r="A1498" s="151" t="s">
        <v>3466</v>
      </c>
    </row>
    <row r="1499" spans="1:1">
      <c r="A1499" s="151" t="s">
        <v>3467</v>
      </c>
    </row>
    <row r="1500" spans="1:1">
      <c r="A1500" s="151" t="s">
        <v>3468</v>
      </c>
    </row>
    <row r="1501" spans="1:1">
      <c r="A1501" s="151" t="s">
        <v>3469</v>
      </c>
    </row>
    <row r="1502" spans="1:1">
      <c r="A1502" s="151" t="s">
        <v>3470</v>
      </c>
    </row>
    <row r="1503" spans="1:1">
      <c r="A1503" s="151" t="s">
        <v>3471</v>
      </c>
    </row>
    <row r="1504" spans="1:1">
      <c r="A1504" s="151" t="s">
        <v>3472</v>
      </c>
    </row>
    <row r="1505" spans="1:1">
      <c r="A1505" s="151" t="s">
        <v>3473</v>
      </c>
    </row>
    <row r="1506" spans="1:1">
      <c r="A1506" s="151" t="s">
        <v>3474</v>
      </c>
    </row>
    <row r="1507" spans="1:1">
      <c r="A1507" s="151" t="s">
        <v>3475</v>
      </c>
    </row>
    <row r="1508" spans="1:1">
      <c r="A1508" s="151" t="s">
        <v>3476</v>
      </c>
    </row>
    <row r="1509" spans="1:1">
      <c r="A1509" s="151" t="s">
        <v>3477</v>
      </c>
    </row>
    <row r="1510" spans="1:1">
      <c r="A1510" s="151" t="s">
        <v>3478</v>
      </c>
    </row>
    <row r="1511" spans="1:1">
      <c r="A1511" s="151" t="s">
        <v>3479</v>
      </c>
    </row>
    <row r="1512" spans="1:1">
      <c r="A1512" s="151" t="s">
        <v>3480</v>
      </c>
    </row>
    <row r="1513" spans="1:1">
      <c r="A1513" s="151" t="s">
        <v>3481</v>
      </c>
    </row>
    <row r="1514" spans="1:1">
      <c r="A1514" s="151" t="s">
        <v>3482</v>
      </c>
    </row>
    <row r="1515" spans="1:1">
      <c r="A1515" s="151" t="s">
        <v>3483</v>
      </c>
    </row>
    <row r="1516" spans="1:1">
      <c r="A1516" s="151" t="s">
        <v>3484</v>
      </c>
    </row>
    <row r="1517" spans="1:1">
      <c r="A1517" s="151" t="s">
        <v>3485</v>
      </c>
    </row>
    <row r="1518" spans="1:1">
      <c r="A1518" s="151" t="s">
        <v>3486</v>
      </c>
    </row>
    <row r="1519" spans="1:1">
      <c r="A1519" s="151" t="s">
        <v>3487</v>
      </c>
    </row>
    <row r="1520" spans="1:1">
      <c r="A1520" s="151" t="s">
        <v>3488</v>
      </c>
    </row>
    <row r="1521" spans="1:1">
      <c r="A1521" s="151" t="s">
        <v>3489</v>
      </c>
    </row>
    <row r="1522" spans="1:1">
      <c r="A1522" s="151" t="s">
        <v>3490</v>
      </c>
    </row>
    <row r="1523" spans="1:1">
      <c r="A1523" s="151" t="s">
        <v>3491</v>
      </c>
    </row>
    <row r="1524" spans="1:1">
      <c r="A1524" s="151" t="s">
        <v>3492</v>
      </c>
    </row>
    <row r="1525" spans="1:1">
      <c r="A1525" s="151" t="s">
        <v>3493</v>
      </c>
    </row>
    <row r="1526" spans="1:1">
      <c r="A1526" s="151" t="s">
        <v>3494</v>
      </c>
    </row>
    <row r="1527" spans="1:1">
      <c r="A1527" s="151" t="s">
        <v>3495</v>
      </c>
    </row>
    <row r="1528" spans="1:1">
      <c r="A1528" s="151" t="s">
        <v>3496</v>
      </c>
    </row>
    <row r="1529" spans="1:1">
      <c r="A1529" s="151" t="s">
        <v>3497</v>
      </c>
    </row>
    <row r="1530" spans="1:1">
      <c r="A1530" s="151" t="s">
        <v>3498</v>
      </c>
    </row>
    <row r="1531" spans="1:1">
      <c r="A1531" s="151" t="s">
        <v>3499</v>
      </c>
    </row>
    <row r="1532" spans="1:1">
      <c r="A1532" s="151" t="s">
        <v>3500</v>
      </c>
    </row>
    <row r="1533" spans="1:1">
      <c r="A1533" s="151" t="s">
        <v>3501</v>
      </c>
    </row>
    <row r="1534" spans="1:1">
      <c r="A1534" s="151" t="s">
        <v>3502</v>
      </c>
    </row>
    <row r="1535" spans="1:1">
      <c r="A1535" s="151" t="s">
        <v>3503</v>
      </c>
    </row>
    <row r="1536" spans="1:1">
      <c r="A1536" s="151" t="s">
        <v>3504</v>
      </c>
    </row>
    <row r="1537" spans="1:1">
      <c r="A1537" s="151" t="s">
        <v>3505</v>
      </c>
    </row>
    <row r="1538" spans="1:1">
      <c r="A1538" s="151" t="s">
        <v>3506</v>
      </c>
    </row>
    <row r="1539" spans="1:1">
      <c r="A1539" s="151" t="s">
        <v>3507</v>
      </c>
    </row>
    <row r="1540" spans="1:1">
      <c r="A1540" s="151" t="s">
        <v>3508</v>
      </c>
    </row>
    <row r="1541" spans="1:1">
      <c r="A1541" s="151" t="s">
        <v>3509</v>
      </c>
    </row>
    <row r="1542" spans="1:1">
      <c r="A1542" s="151" t="s">
        <v>3510</v>
      </c>
    </row>
    <row r="1543" spans="1:1">
      <c r="A1543" s="151" t="s">
        <v>3511</v>
      </c>
    </row>
    <row r="1544" spans="1:1">
      <c r="A1544" s="151" t="s">
        <v>3512</v>
      </c>
    </row>
    <row r="1545" spans="1:1">
      <c r="A1545" s="151" t="s">
        <v>3513</v>
      </c>
    </row>
    <row r="1546" spans="1:1">
      <c r="A1546" s="151" t="s">
        <v>3514</v>
      </c>
    </row>
    <row r="1547" spans="1:1">
      <c r="A1547" s="151" t="s">
        <v>3515</v>
      </c>
    </row>
    <row r="1548" spans="1:1">
      <c r="A1548" s="151" t="s">
        <v>3516</v>
      </c>
    </row>
    <row r="1549" spans="1:1">
      <c r="A1549" s="151" t="s">
        <v>3517</v>
      </c>
    </row>
    <row r="1550" spans="1:1">
      <c r="A1550" s="151" t="s">
        <v>3518</v>
      </c>
    </row>
    <row r="1551" spans="1:1">
      <c r="A1551" s="151" t="s">
        <v>3519</v>
      </c>
    </row>
    <row r="1552" spans="1:1">
      <c r="A1552" s="151" t="s">
        <v>3520</v>
      </c>
    </row>
    <row r="1553" spans="1:1">
      <c r="A1553" s="151" t="s">
        <v>3521</v>
      </c>
    </row>
    <row r="1554" spans="1:1">
      <c r="A1554" s="151" t="s">
        <v>3522</v>
      </c>
    </row>
    <row r="1555" spans="1:1">
      <c r="A1555" s="151" t="s">
        <v>3523</v>
      </c>
    </row>
    <row r="1556" spans="1:1">
      <c r="A1556" s="151" t="s">
        <v>3524</v>
      </c>
    </row>
    <row r="1557" spans="1:1">
      <c r="A1557" s="151" t="s">
        <v>3525</v>
      </c>
    </row>
    <row r="1558" spans="1:1">
      <c r="A1558" s="151" t="s">
        <v>3526</v>
      </c>
    </row>
    <row r="1559" spans="1:1">
      <c r="A1559" s="151" t="s">
        <v>3527</v>
      </c>
    </row>
    <row r="1560" spans="1:1">
      <c r="A1560" s="151" t="s">
        <v>3528</v>
      </c>
    </row>
    <row r="1561" spans="1:1">
      <c r="A1561" s="151" t="s">
        <v>3529</v>
      </c>
    </row>
    <row r="1562" spans="1:1">
      <c r="A1562" s="151" t="s">
        <v>3530</v>
      </c>
    </row>
    <row r="1563" spans="1:1">
      <c r="A1563" s="151" t="s">
        <v>3531</v>
      </c>
    </row>
    <row r="1564" spans="1:1">
      <c r="A1564" s="151" t="s">
        <v>3532</v>
      </c>
    </row>
    <row r="1565" spans="1:1">
      <c r="A1565" s="151" t="s">
        <v>3533</v>
      </c>
    </row>
    <row r="1566" spans="1:1">
      <c r="A1566" s="151" t="s">
        <v>3534</v>
      </c>
    </row>
    <row r="1567" spans="1:1">
      <c r="A1567" s="151" t="s">
        <v>3535</v>
      </c>
    </row>
    <row r="1568" spans="1:1">
      <c r="A1568" s="151" t="s">
        <v>3536</v>
      </c>
    </row>
    <row r="1569" spans="1:1">
      <c r="A1569" s="151" t="s">
        <v>3537</v>
      </c>
    </row>
    <row r="1570" spans="1:1">
      <c r="A1570" s="151" t="s">
        <v>3538</v>
      </c>
    </row>
    <row r="1571" spans="1:1">
      <c r="A1571" s="151" t="s">
        <v>3539</v>
      </c>
    </row>
    <row r="1572" spans="1:1">
      <c r="A1572" s="151" t="s">
        <v>3540</v>
      </c>
    </row>
    <row r="1573" spans="1:1">
      <c r="A1573" s="151" t="s">
        <v>3541</v>
      </c>
    </row>
    <row r="1574" spans="1:1">
      <c r="A1574" s="151" t="s">
        <v>3542</v>
      </c>
    </row>
    <row r="1575" spans="1:1">
      <c r="A1575" s="151" t="s">
        <v>3543</v>
      </c>
    </row>
    <row r="1576" spans="1:1">
      <c r="A1576" s="151" t="s">
        <v>3544</v>
      </c>
    </row>
    <row r="1577" spans="1:1">
      <c r="A1577" s="151" t="s">
        <v>3545</v>
      </c>
    </row>
    <row r="1578" spans="1:1">
      <c r="A1578" s="151" t="s">
        <v>3546</v>
      </c>
    </row>
    <row r="1579" spans="1:1">
      <c r="A1579" s="151" t="s">
        <v>3547</v>
      </c>
    </row>
    <row r="1580" spans="1:1">
      <c r="A1580" s="151" t="s">
        <v>3548</v>
      </c>
    </row>
    <row r="1581" spans="1:1">
      <c r="A1581" s="151" t="s">
        <v>3549</v>
      </c>
    </row>
    <row r="1582" spans="1:1">
      <c r="A1582" s="151" t="s">
        <v>3550</v>
      </c>
    </row>
    <row r="1583" spans="1:1">
      <c r="A1583" s="151" t="s">
        <v>3551</v>
      </c>
    </row>
    <row r="1584" spans="1:1">
      <c r="A1584" s="151" t="s">
        <v>3552</v>
      </c>
    </row>
    <row r="1585" spans="1:1">
      <c r="A1585" s="151" t="s">
        <v>3553</v>
      </c>
    </row>
    <row r="1586" spans="1:1">
      <c r="A1586" s="151" t="s">
        <v>3554</v>
      </c>
    </row>
    <row r="1587" spans="1:1">
      <c r="A1587" s="151" t="s">
        <v>3555</v>
      </c>
    </row>
    <row r="1588" spans="1:1">
      <c r="A1588" s="151" t="s">
        <v>3556</v>
      </c>
    </row>
    <row r="1589" spans="1:1">
      <c r="A1589" s="151" t="s">
        <v>3557</v>
      </c>
    </row>
    <row r="1590" spans="1:1">
      <c r="A1590" s="151" t="s">
        <v>3558</v>
      </c>
    </row>
    <row r="1591" spans="1:1">
      <c r="A1591" s="151" t="s">
        <v>3559</v>
      </c>
    </row>
    <row r="1592" spans="1:1">
      <c r="A1592" s="151" t="s">
        <v>3560</v>
      </c>
    </row>
    <row r="1593" spans="1:1">
      <c r="A1593" s="151" t="s">
        <v>3561</v>
      </c>
    </row>
    <row r="1594" spans="1:1">
      <c r="A1594" s="151" t="s">
        <v>3562</v>
      </c>
    </row>
    <row r="1595" spans="1:1">
      <c r="A1595" s="151" t="s">
        <v>3563</v>
      </c>
    </row>
    <row r="1596" spans="1:1">
      <c r="A1596" s="151" t="s">
        <v>3564</v>
      </c>
    </row>
    <row r="1597" spans="1:1">
      <c r="A1597" s="151" t="s">
        <v>3565</v>
      </c>
    </row>
    <row r="1598" spans="1:1">
      <c r="A1598" s="151" t="s">
        <v>3566</v>
      </c>
    </row>
    <row r="1599" spans="1:1">
      <c r="A1599" s="151" t="s">
        <v>3567</v>
      </c>
    </row>
    <row r="1600" spans="1:1">
      <c r="A1600" s="151" t="s">
        <v>3568</v>
      </c>
    </row>
    <row r="1601" spans="1:1">
      <c r="A1601" s="151" t="s">
        <v>3569</v>
      </c>
    </row>
    <row r="1602" spans="1:1">
      <c r="A1602" s="151" t="s">
        <v>3570</v>
      </c>
    </row>
    <row r="1603" spans="1:1">
      <c r="A1603" s="151" t="s">
        <v>3571</v>
      </c>
    </row>
    <row r="1604" spans="1:1">
      <c r="A1604" s="151" t="s">
        <v>3572</v>
      </c>
    </row>
    <row r="1605" spans="1:1">
      <c r="A1605" s="151" t="s">
        <v>3573</v>
      </c>
    </row>
    <row r="1606" spans="1:1">
      <c r="A1606" s="151" t="s">
        <v>3574</v>
      </c>
    </row>
    <row r="1607" spans="1:1">
      <c r="A1607" s="151" t="s">
        <v>3575</v>
      </c>
    </row>
    <row r="1608" spans="1:1">
      <c r="A1608" s="151" t="s">
        <v>3576</v>
      </c>
    </row>
    <row r="1609" spans="1:1">
      <c r="A1609" s="151" t="s">
        <v>3577</v>
      </c>
    </row>
    <row r="1610" spans="1:1">
      <c r="A1610" s="151" t="s">
        <v>3578</v>
      </c>
    </row>
    <row r="1611" spans="1:1">
      <c r="A1611" s="151" t="s">
        <v>3579</v>
      </c>
    </row>
    <row r="1612" spans="1:1">
      <c r="A1612" s="151" t="s">
        <v>3580</v>
      </c>
    </row>
    <row r="1613" spans="1:1">
      <c r="A1613" s="151" t="s">
        <v>3581</v>
      </c>
    </row>
    <row r="1614" spans="1:1">
      <c r="A1614" s="151" t="s">
        <v>3582</v>
      </c>
    </row>
    <row r="1615" spans="1:1">
      <c r="A1615" s="151" t="s">
        <v>3583</v>
      </c>
    </row>
    <row r="1616" spans="1:1">
      <c r="A1616" s="151" t="s">
        <v>3584</v>
      </c>
    </row>
    <row r="1617" spans="1:1">
      <c r="A1617" s="151" t="s">
        <v>3585</v>
      </c>
    </row>
    <row r="1618" spans="1:1">
      <c r="A1618" s="151" t="s">
        <v>3586</v>
      </c>
    </row>
    <row r="1619" spans="1:1">
      <c r="A1619" s="151" t="s">
        <v>3587</v>
      </c>
    </row>
    <row r="1620" spans="1:1">
      <c r="A1620" s="151" t="s">
        <v>3588</v>
      </c>
    </row>
    <row r="1621" spans="1:1">
      <c r="A1621" s="151" t="s">
        <v>3589</v>
      </c>
    </row>
    <row r="1622" spans="1:1">
      <c r="A1622" s="151" t="s">
        <v>3590</v>
      </c>
    </row>
    <row r="1623" spans="1:1">
      <c r="A1623" s="151" t="s">
        <v>3591</v>
      </c>
    </row>
    <row r="1624" spans="1:1">
      <c r="A1624" s="151" t="s">
        <v>3592</v>
      </c>
    </row>
    <row r="1625" spans="1:1">
      <c r="A1625" s="151" t="s">
        <v>3593</v>
      </c>
    </row>
    <row r="1626" spans="1:1">
      <c r="A1626" s="151" t="s">
        <v>3594</v>
      </c>
    </row>
    <row r="1627" spans="1:1">
      <c r="A1627" s="151" t="s">
        <v>3595</v>
      </c>
    </row>
    <row r="1628" spans="1:1">
      <c r="A1628" s="151" t="s">
        <v>3596</v>
      </c>
    </row>
    <row r="1629" spans="1:1">
      <c r="A1629" s="151" t="s">
        <v>3597</v>
      </c>
    </row>
    <row r="1630" spans="1:1">
      <c r="A1630" s="151" t="s">
        <v>3598</v>
      </c>
    </row>
    <row r="1631" spans="1:1">
      <c r="A1631" s="151" t="s">
        <v>3599</v>
      </c>
    </row>
    <row r="1632" spans="1:1">
      <c r="A1632" s="151" t="s">
        <v>3600</v>
      </c>
    </row>
    <row r="1633" spans="1:1">
      <c r="A1633" s="151" t="s">
        <v>3601</v>
      </c>
    </row>
    <row r="1634" spans="1:1">
      <c r="A1634" s="151" t="s">
        <v>3602</v>
      </c>
    </row>
    <row r="1635" spans="1:1">
      <c r="A1635" s="151" t="s">
        <v>3603</v>
      </c>
    </row>
    <row r="1636" spans="1:1">
      <c r="A1636" s="151" t="s">
        <v>3604</v>
      </c>
    </row>
    <row r="1637" spans="1:1">
      <c r="A1637" s="151" t="s">
        <v>3605</v>
      </c>
    </row>
    <row r="1638" spans="1:1">
      <c r="A1638" s="151" t="s">
        <v>3606</v>
      </c>
    </row>
    <row r="1639" spans="1:1">
      <c r="A1639" s="151" t="s">
        <v>3607</v>
      </c>
    </row>
    <row r="1640" spans="1:1">
      <c r="A1640" s="151" t="s">
        <v>3608</v>
      </c>
    </row>
    <row r="1641" spans="1:1">
      <c r="A1641" s="151" t="s">
        <v>3609</v>
      </c>
    </row>
    <row r="1642" spans="1:1">
      <c r="A1642" s="151" t="s">
        <v>3610</v>
      </c>
    </row>
    <row r="1643" spans="1:1">
      <c r="A1643" s="151" t="s">
        <v>3611</v>
      </c>
    </row>
    <row r="1644" spans="1:1">
      <c r="A1644" s="151" t="s">
        <v>3612</v>
      </c>
    </row>
    <row r="1645" spans="1:1">
      <c r="A1645" s="151" t="s">
        <v>3613</v>
      </c>
    </row>
    <row r="1646" spans="1:1">
      <c r="A1646" s="151" t="s">
        <v>3614</v>
      </c>
    </row>
    <row r="1647" spans="1:1">
      <c r="A1647" s="151" t="s">
        <v>3615</v>
      </c>
    </row>
    <row r="1648" spans="1:1">
      <c r="A1648" s="151" t="s">
        <v>3616</v>
      </c>
    </row>
    <row r="1649" spans="1:1">
      <c r="A1649" s="151" t="s">
        <v>3617</v>
      </c>
    </row>
    <row r="1650" spans="1:1">
      <c r="A1650" s="151" t="s">
        <v>3618</v>
      </c>
    </row>
    <row r="1651" spans="1:1">
      <c r="A1651" s="151" t="s">
        <v>3619</v>
      </c>
    </row>
    <row r="1652" spans="1:1">
      <c r="A1652" s="151" t="s">
        <v>3620</v>
      </c>
    </row>
    <row r="1653" spans="1:1">
      <c r="A1653" s="151" t="s">
        <v>3621</v>
      </c>
    </row>
    <row r="1654" spans="1:1">
      <c r="A1654" s="151" t="s">
        <v>3622</v>
      </c>
    </row>
    <row r="1655" spans="1:1">
      <c r="A1655" s="151" t="s">
        <v>3623</v>
      </c>
    </row>
    <row r="1656" spans="1:1">
      <c r="A1656" s="151" t="s">
        <v>3624</v>
      </c>
    </row>
    <row r="1657" spans="1:1">
      <c r="A1657" s="151" t="s">
        <v>3625</v>
      </c>
    </row>
    <row r="1658" spans="1:1">
      <c r="A1658" s="151" t="s">
        <v>3626</v>
      </c>
    </row>
    <row r="1659" spans="1:1">
      <c r="A1659" s="151" t="s">
        <v>3627</v>
      </c>
    </row>
    <row r="1660" spans="1:1">
      <c r="A1660" s="151" t="s">
        <v>3628</v>
      </c>
    </row>
    <row r="1661" spans="1:1">
      <c r="A1661" s="151" t="s">
        <v>3629</v>
      </c>
    </row>
    <row r="1662" spans="1:1">
      <c r="A1662" s="151" t="s">
        <v>3630</v>
      </c>
    </row>
    <row r="1663" spans="1:1">
      <c r="A1663" s="151" t="s">
        <v>3631</v>
      </c>
    </row>
    <row r="1664" spans="1:1">
      <c r="A1664" s="151" t="s">
        <v>3632</v>
      </c>
    </row>
    <row r="1665" spans="1:1">
      <c r="A1665" s="151" t="s">
        <v>3633</v>
      </c>
    </row>
    <row r="1666" spans="1:1">
      <c r="A1666" s="151" t="s">
        <v>3634</v>
      </c>
    </row>
    <row r="1667" spans="1:1">
      <c r="A1667" s="151" t="s">
        <v>3635</v>
      </c>
    </row>
    <row r="1668" spans="1:1">
      <c r="A1668" s="151" t="s">
        <v>3636</v>
      </c>
    </row>
    <row r="1669" spans="1:1">
      <c r="A1669" s="151" t="s">
        <v>3637</v>
      </c>
    </row>
    <row r="1670" spans="1:1">
      <c r="A1670" s="151" t="s">
        <v>3638</v>
      </c>
    </row>
    <row r="1671" spans="1:1">
      <c r="A1671" s="151" t="s">
        <v>3639</v>
      </c>
    </row>
    <row r="1672" spans="1:1">
      <c r="A1672" s="151" t="s">
        <v>3640</v>
      </c>
    </row>
    <row r="1673" spans="1:1">
      <c r="A1673" s="151" t="s">
        <v>3641</v>
      </c>
    </row>
    <row r="1674" spans="1:1">
      <c r="A1674" s="151" t="s">
        <v>3642</v>
      </c>
    </row>
    <row r="1675" spans="1:1">
      <c r="A1675" s="151" t="s">
        <v>3643</v>
      </c>
    </row>
    <row r="1676" spans="1:1">
      <c r="A1676" s="151" t="s">
        <v>3644</v>
      </c>
    </row>
    <row r="1677" spans="1:1">
      <c r="A1677" s="151" t="s">
        <v>3645</v>
      </c>
    </row>
    <row r="1678" spans="1:1">
      <c r="A1678" s="151" t="s">
        <v>3646</v>
      </c>
    </row>
    <row r="1679" spans="1:1">
      <c r="A1679" s="151" t="s">
        <v>3647</v>
      </c>
    </row>
    <row r="1680" spans="1:1">
      <c r="A1680" s="151" t="s">
        <v>3648</v>
      </c>
    </row>
    <row r="1681" spans="1:1">
      <c r="A1681" s="151" t="s">
        <v>3649</v>
      </c>
    </row>
    <row r="1682" spans="1:1">
      <c r="A1682" s="151" t="s">
        <v>3650</v>
      </c>
    </row>
    <row r="1683" spans="1:1">
      <c r="A1683" s="151" t="s">
        <v>3651</v>
      </c>
    </row>
    <row r="1684" spans="1:1">
      <c r="A1684" s="151" t="s">
        <v>3652</v>
      </c>
    </row>
    <row r="1685" spans="1:1">
      <c r="A1685" s="151" t="s">
        <v>3653</v>
      </c>
    </row>
    <row r="1686" spans="1:1">
      <c r="A1686" s="151" t="s">
        <v>3654</v>
      </c>
    </row>
    <row r="1687" spans="1:1">
      <c r="A1687" s="151" t="s">
        <v>3655</v>
      </c>
    </row>
    <row r="1688" spans="1:1">
      <c r="A1688" s="151" t="s">
        <v>3656</v>
      </c>
    </row>
    <row r="1689" spans="1:1">
      <c r="A1689" s="151" t="s">
        <v>3657</v>
      </c>
    </row>
    <row r="1690" spans="1:1">
      <c r="A1690" s="151" t="s">
        <v>3658</v>
      </c>
    </row>
    <row r="1691" spans="1:1">
      <c r="A1691" s="151" t="s">
        <v>3659</v>
      </c>
    </row>
    <row r="1692" spans="1:1">
      <c r="A1692" s="151" t="s">
        <v>3660</v>
      </c>
    </row>
    <row r="1693" spans="1:1">
      <c r="A1693" s="151" t="s">
        <v>3661</v>
      </c>
    </row>
    <row r="1694" spans="1:1">
      <c r="A1694" s="151" t="s">
        <v>3662</v>
      </c>
    </row>
    <row r="1695" spans="1:1">
      <c r="A1695" s="151" t="s">
        <v>3663</v>
      </c>
    </row>
    <row r="1696" spans="1:1">
      <c r="A1696" s="151" t="s">
        <v>3664</v>
      </c>
    </row>
    <row r="1697" spans="1:1">
      <c r="A1697" s="151" t="s">
        <v>3665</v>
      </c>
    </row>
    <row r="1698" spans="1:1">
      <c r="A1698" s="151" t="s">
        <v>3666</v>
      </c>
    </row>
    <row r="1699" spans="1:1">
      <c r="A1699" s="151" t="s">
        <v>3667</v>
      </c>
    </row>
    <row r="1700" spans="1:1">
      <c r="A1700" s="151" t="s">
        <v>3668</v>
      </c>
    </row>
    <row r="1701" spans="1:1">
      <c r="A1701" s="151" t="s">
        <v>3669</v>
      </c>
    </row>
    <row r="1702" spans="1:1">
      <c r="A1702" s="151" t="s">
        <v>3670</v>
      </c>
    </row>
    <row r="1703" spans="1:1">
      <c r="A1703" s="151" t="s">
        <v>3671</v>
      </c>
    </row>
    <row r="1704" spans="1:1">
      <c r="A1704" s="151" t="s">
        <v>3672</v>
      </c>
    </row>
    <row r="1705" spans="1:1">
      <c r="A1705" s="151" t="s">
        <v>3673</v>
      </c>
    </row>
    <row r="1706" spans="1:1">
      <c r="A1706" s="151" t="s">
        <v>3674</v>
      </c>
    </row>
    <row r="1707" spans="1:1">
      <c r="A1707" s="151" t="s">
        <v>3675</v>
      </c>
    </row>
    <row r="1708" spans="1:1">
      <c r="A1708" s="151" t="s">
        <v>3676</v>
      </c>
    </row>
    <row r="1709" spans="1:1">
      <c r="A1709" s="151" t="s">
        <v>3677</v>
      </c>
    </row>
    <row r="1710" spans="1:1">
      <c r="A1710" s="151" t="s">
        <v>3678</v>
      </c>
    </row>
    <row r="1711" spans="1:1">
      <c r="A1711" s="151" t="s">
        <v>3679</v>
      </c>
    </row>
    <row r="1712" spans="1:1">
      <c r="A1712" s="151" t="s">
        <v>3680</v>
      </c>
    </row>
    <row r="1713" spans="1:1">
      <c r="A1713" s="151" t="s">
        <v>3681</v>
      </c>
    </row>
    <row r="1714" spans="1:1">
      <c r="A1714" s="151" t="s">
        <v>3682</v>
      </c>
    </row>
    <row r="1715" spans="1:1">
      <c r="A1715" s="151" t="s">
        <v>3683</v>
      </c>
    </row>
    <row r="1716" spans="1:1">
      <c r="A1716" s="151" t="s">
        <v>3684</v>
      </c>
    </row>
    <row r="1717" spans="1:1">
      <c r="A1717" s="151" t="s">
        <v>3685</v>
      </c>
    </row>
    <row r="1718" spans="1:1">
      <c r="A1718" s="151" t="s">
        <v>3686</v>
      </c>
    </row>
    <row r="1719" spans="1:1">
      <c r="A1719" s="151" t="s">
        <v>3687</v>
      </c>
    </row>
    <row r="1720" spans="1:1">
      <c r="A1720" s="151" t="s">
        <v>3688</v>
      </c>
    </row>
    <row r="1721" spans="1:1">
      <c r="A1721" s="151" t="s">
        <v>3689</v>
      </c>
    </row>
    <row r="1722" spans="1:1">
      <c r="A1722" s="151" t="s">
        <v>3690</v>
      </c>
    </row>
    <row r="1723" spans="1:1">
      <c r="A1723" s="151" t="s">
        <v>3691</v>
      </c>
    </row>
    <row r="1724" spans="1:1">
      <c r="A1724" s="151" t="s">
        <v>3692</v>
      </c>
    </row>
    <row r="1725" spans="1:1">
      <c r="A1725" s="151" t="s">
        <v>3693</v>
      </c>
    </row>
    <row r="1726" spans="1:1">
      <c r="A1726" s="151" t="s">
        <v>3694</v>
      </c>
    </row>
    <row r="1727" spans="1:1">
      <c r="A1727" s="151" t="s">
        <v>3695</v>
      </c>
    </row>
    <row r="1728" spans="1:1">
      <c r="A1728" s="151" t="s">
        <v>3696</v>
      </c>
    </row>
    <row r="1729" spans="1:1">
      <c r="A1729" s="151" t="s">
        <v>3697</v>
      </c>
    </row>
    <row r="1730" spans="1:1">
      <c r="A1730" s="151" t="s">
        <v>3698</v>
      </c>
    </row>
    <row r="1731" spans="1:1">
      <c r="A1731" s="151" t="s">
        <v>3699</v>
      </c>
    </row>
    <row r="1732" spans="1:1">
      <c r="A1732" s="151" t="s">
        <v>3700</v>
      </c>
    </row>
    <row r="1733" spans="1:1">
      <c r="A1733" s="151" t="s">
        <v>3701</v>
      </c>
    </row>
    <row r="1734" spans="1:1">
      <c r="A1734" s="151" t="s">
        <v>3702</v>
      </c>
    </row>
    <row r="1735" spans="1:1">
      <c r="A1735" s="151" t="s">
        <v>3703</v>
      </c>
    </row>
    <row r="1736" spans="1:1">
      <c r="A1736" s="151" t="s">
        <v>3704</v>
      </c>
    </row>
    <row r="1737" spans="1:1">
      <c r="A1737" s="151" t="s">
        <v>3705</v>
      </c>
    </row>
    <row r="1738" spans="1:1">
      <c r="A1738" s="151" t="s">
        <v>3706</v>
      </c>
    </row>
    <row r="1739" spans="1:1">
      <c r="A1739" s="151" t="s">
        <v>3707</v>
      </c>
    </row>
    <row r="1740" spans="1:1">
      <c r="A1740" s="151" t="s">
        <v>3708</v>
      </c>
    </row>
    <row r="1741" spans="1:1">
      <c r="A1741" s="151" t="s">
        <v>3709</v>
      </c>
    </row>
    <row r="1742" spans="1:1">
      <c r="A1742" s="151" t="s">
        <v>3710</v>
      </c>
    </row>
    <row r="1743" spans="1:1">
      <c r="A1743" s="151" t="s">
        <v>3711</v>
      </c>
    </row>
    <row r="1744" spans="1:1">
      <c r="A1744" s="151" t="s">
        <v>3712</v>
      </c>
    </row>
    <row r="1745" spans="1:1">
      <c r="A1745" s="151" t="s">
        <v>3713</v>
      </c>
    </row>
    <row r="1746" spans="1:1">
      <c r="A1746" s="151" t="s">
        <v>3714</v>
      </c>
    </row>
    <row r="1747" spans="1:1">
      <c r="A1747" s="151" t="s">
        <v>3715</v>
      </c>
    </row>
    <row r="1748" spans="1:1">
      <c r="A1748" s="151" t="s">
        <v>3716</v>
      </c>
    </row>
    <row r="1749" spans="1:1">
      <c r="A1749" s="151" t="s">
        <v>3717</v>
      </c>
    </row>
    <row r="1750" spans="1:1">
      <c r="A1750" s="151" t="s">
        <v>3718</v>
      </c>
    </row>
    <row r="1751" spans="1:1">
      <c r="A1751" s="151" t="s">
        <v>3719</v>
      </c>
    </row>
    <row r="1752" spans="1:1">
      <c r="A1752" s="151" t="s">
        <v>3720</v>
      </c>
    </row>
    <row r="1753" spans="1:1">
      <c r="A1753" s="151" t="s">
        <v>3721</v>
      </c>
    </row>
    <row r="1754" spans="1:1">
      <c r="A1754" s="151" t="s">
        <v>3722</v>
      </c>
    </row>
    <row r="1755" spans="1:1">
      <c r="A1755" s="151" t="s">
        <v>3723</v>
      </c>
    </row>
    <row r="1756" spans="1:1">
      <c r="A1756" s="151" t="s">
        <v>3724</v>
      </c>
    </row>
    <row r="1757" spans="1:1">
      <c r="A1757" s="151" t="s">
        <v>3725</v>
      </c>
    </row>
    <row r="1758" spans="1:1">
      <c r="A1758" s="151" t="s">
        <v>3726</v>
      </c>
    </row>
    <row r="1759" spans="1:1">
      <c r="A1759" s="151" t="s">
        <v>3727</v>
      </c>
    </row>
    <row r="1760" spans="1:1">
      <c r="A1760" s="151" t="s">
        <v>3728</v>
      </c>
    </row>
    <row r="1761" spans="1:1">
      <c r="A1761" s="151" t="s">
        <v>3729</v>
      </c>
    </row>
    <row r="1762" spans="1:1">
      <c r="A1762" s="151" t="s">
        <v>3730</v>
      </c>
    </row>
    <row r="1763" spans="1:1">
      <c r="A1763" s="151" t="s">
        <v>3731</v>
      </c>
    </row>
    <row r="1764" spans="1:1">
      <c r="A1764" s="151" t="s">
        <v>3732</v>
      </c>
    </row>
    <row r="1765" spans="1:1">
      <c r="A1765" s="151" t="s">
        <v>3733</v>
      </c>
    </row>
    <row r="1766" spans="1:1">
      <c r="A1766" s="151" t="s">
        <v>3734</v>
      </c>
    </row>
    <row r="1767" spans="1:1">
      <c r="A1767" s="151" t="s">
        <v>3735</v>
      </c>
    </row>
    <row r="1768" spans="1:1">
      <c r="A1768" s="151" t="s">
        <v>3736</v>
      </c>
    </row>
    <row r="1769" spans="1:1">
      <c r="A1769" s="151" t="s">
        <v>3737</v>
      </c>
    </row>
    <row r="1770" spans="1:1">
      <c r="A1770" s="151" t="s">
        <v>3738</v>
      </c>
    </row>
    <row r="1771" spans="1:1">
      <c r="A1771" s="151" t="s">
        <v>3739</v>
      </c>
    </row>
    <row r="1772" spans="1:1">
      <c r="A1772" s="151" t="s">
        <v>3740</v>
      </c>
    </row>
    <row r="1773" spans="1:1">
      <c r="A1773" s="151" t="s">
        <v>3741</v>
      </c>
    </row>
    <row r="1774" spans="1:1">
      <c r="A1774" s="151" t="s">
        <v>3742</v>
      </c>
    </row>
    <row r="1775" spans="1:1">
      <c r="A1775" s="151" t="s">
        <v>3743</v>
      </c>
    </row>
    <row r="1776" spans="1:1">
      <c r="A1776" s="151" t="s">
        <v>3744</v>
      </c>
    </row>
    <row r="1777" spans="1:1">
      <c r="A1777" s="151" t="s">
        <v>3745</v>
      </c>
    </row>
    <row r="1778" spans="1:1">
      <c r="A1778" s="151" t="s">
        <v>3746</v>
      </c>
    </row>
    <row r="1779" spans="1:1">
      <c r="A1779" s="151" t="s">
        <v>3747</v>
      </c>
    </row>
    <row r="1780" spans="1:1">
      <c r="A1780" s="151" t="s">
        <v>3748</v>
      </c>
    </row>
    <row r="1781" spans="1:1">
      <c r="A1781" s="151" t="s">
        <v>3749</v>
      </c>
    </row>
    <row r="1782" spans="1:1">
      <c r="A1782" s="151" t="s">
        <v>3750</v>
      </c>
    </row>
    <row r="1783" spans="1:1">
      <c r="A1783" s="151" t="s">
        <v>3751</v>
      </c>
    </row>
    <row r="1784" spans="1:1">
      <c r="A1784" s="151" t="s">
        <v>3752</v>
      </c>
    </row>
    <row r="1785" spans="1:1">
      <c r="A1785" s="151" t="s">
        <v>3753</v>
      </c>
    </row>
    <row r="1786" spans="1:1">
      <c r="A1786" s="151" t="s">
        <v>3754</v>
      </c>
    </row>
    <row r="1787" spans="1:1">
      <c r="A1787" s="151" t="s">
        <v>3755</v>
      </c>
    </row>
    <row r="1788" spans="1:1">
      <c r="A1788" s="151" t="s">
        <v>3756</v>
      </c>
    </row>
    <row r="1789" spans="1:1">
      <c r="A1789" s="151" t="s">
        <v>3757</v>
      </c>
    </row>
    <row r="1790" spans="1:1">
      <c r="A1790" s="151" t="s">
        <v>3758</v>
      </c>
    </row>
    <row r="1791" spans="1:1">
      <c r="A1791" s="151" t="s">
        <v>3759</v>
      </c>
    </row>
    <row r="1792" spans="1:1">
      <c r="A1792" s="151" t="s">
        <v>3760</v>
      </c>
    </row>
    <row r="1793" spans="1:1">
      <c r="A1793" s="151" t="s">
        <v>3761</v>
      </c>
    </row>
    <row r="1794" spans="1:1">
      <c r="A1794" s="151" t="s">
        <v>3762</v>
      </c>
    </row>
    <row r="1795" spans="1:1">
      <c r="A1795" s="151" t="s">
        <v>3763</v>
      </c>
    </row>
    <row r="1796" spans="1:1">
      <c r="A1796" s="151" t="s">
        <v>3764</v>
      </c>
    </row>
    <row r="1797" spans="1:1">
      <c r="A1797" s="151" t="s">
        <v>3765</v>
      </c>
    </row>
    <row r="1798" spans="1:1">
      <c r="A1798" s="151" t="s">
        <v>3766</v>
      </c>
    </row>
    <row r="1799" spans="1:1">
      <c r="A1799" s="151" t="s">
        <v>3767</v>
      </c>
    </row>
    <row r="1800" spans="1:1">
      <c r="A1800" s="151" t="s">
        <v>3768</v>
      </c>
    </row>
    <row r="1801" spans="1:1">
      <c r="A1801" s="151" t="s">
        <v>3769</v>
      </c>
    </row>
    <row r="1802" spans="1:1">
      <c r="A1802" s="151" t="s">
        <v>3770</v>
      </c>
    </row>
    <row r="1803" spans="1:1">
      <c r="A1803" s="151" t="s">
        <v>3771</v>
      </c>
    </row>
    <row r="1804" spans="1:1">
      <c r="A1804" s="151" t="s">
        <v>3772</v>
      </c>
    </row>
    <row r="1805" spans="1:1">
      <c r="A1805" s="151" t="s">
        <v>3773</v>
      </c>
    </row>
    <row r="1806" spans="1:1">
      <c r="A1806" s="151" t="s">
        <v>3774</v>
      </c>
    </row>
    <row r="1807" spans="1:1">
      <c r="A1807" s="151" t="s">
        <v>3775</v>
      </c>
    </row>
    <row r="1808" spans="1:1">
      <c r="A1808" s="151" t="s">
        <v>3776</v>
      </c>
    </row>
    <row r="1809" spans="1:1">
      <c r="A1809" s="151" t="s">
        <v>3777</v>
      </c>
    </row>
    <row r="1810" spans="1:1">
      <c r="A1810" s="151" t="s">
        <v>3778</v>
      </c>
    </row>
    <row r="1811" spans="1:1">
      <c r="A1811" s="151" t="s">
        <v>3779</v>
      </c>
    </row>
    <row r="1812" spans="1:1">
      <c r="A1812" s="151" t="s">
        <v>3780</v>
      </c>
    </row>
    <row r="1813" spans="1:1">
      <c r="A1813" s="151" t="s">
        <v>3781</v>
      </c>
    </row>
    <row r="1814" spans="1:1">
      <c r="A1814" s="151" t="s">
        <v>3782</v>
      </c>
    </row>
    <row r="1815" spans="1:1">
      <c r="A1815" s="151" t="s">
        <v>3783</v>
      </c>
    </row>
    <row r="1816" spans="1:1">
      <c r="A1816" s="151" t="s">
        <v>3784</v>
      </c>
    </row>
    <row r="1817" spans="1:1">
      <c r="A1817" s="151" t="s">
        <v>3785</v>
      </c>
    </row>
    <row r="1818" spans="1:1">
      <c r="A1818" s="151" t="s">
        <v>3786</v>
      </c>
    </row>
    <row r="1819" spans="1:1">
      <c r="A1819" s="151" t="s">
        <v>3787</v>
      </c>
    </row>
    <row r="1820" spans="1:1">
      <c r="A1820" s="151" t="s">
        <v>3788</v>
      </c>
    </row>
    <row r="1821" spans="1:1">
      <c r="A1821" s="151" t="s">
        <v>3789</v>
      </c>
    </row>
    <row r="1822" spans="1:1">
      <c r="A1822" s="151" t="s">
        <v>3790</v>
      </c>
    </row>
    <row r="1823" spans="1:1">
      <c r="A1823" s="151" t="s">
        <v>3791</v>
      </c>
    </row>
    <row r="1824" spans="1:1">
      <c r="A1824" s="151" t="s">
        <v>3792</v>
      </c>
    </row>
    <row r="1825" spans="1:1">
      <c r="A1825" s="151" t="s">
        <v>3793</v>
      </c>
    </row>
    <row r="1826" spans="1:1">
      <c r="A1826" s="151" t="s">
        <v>3794</v>
      </c>
    </row>
    <row r="1827" spans="1:1">
      <c r="A1827" s="151" t="s">
        <v>3795</v>
      </c>
    </row>
    <row r="1828" spans="1:1">
      <c r="A1828" s="151" t="s">
        <v>3796</v>
      </c>
    </row>
    <row r="1829" spans="1:1">
      <c r="A1829" s="151" t="s">
        <v>3797</v>
      </c>
    </row>
    <row r="1830" spans="1:1">
      <c r="A1830" s="151" t="s">
        <v>3798</v>
      </c>
    </row>
    <row r="1831" spans="1:1">
      <c r="A1831" s="151" t="s">
        <v>3799</v>
      </c>
    </row>
    <row r="1832" spans="1:1">
      <c r="A1832" s="151" t="s">
        <v>3800</v>
      </c>
    </row>
    <row r="1833" spans="1:1">
      <c r="A1833" s="151" t="s">
        <v>3801</v>
      </c>
    </row>
    <row r="1834" spans="1:1">
      <c r="A1834" s="151" t="s">
        <v>3802</v>
      </c>
    </row>
    <row r="1835" spans="1:1">
      <c r="A1835" s="151" t="s">
        <v>3803</v>
      </c>
    </row>
    <row r="1836" spans="1:1">
      <c r="A1836" s="151" t="s">
        <v>3804</v>
      </c>
    </row>
    <row r="1837" spans="1:1">
      <c r="A1837" s="151" t="s">
        <v>3805</v>
      </c>
    </row>
    <row r="1838" spans="1:1">
      <c r="A1838" s="151" t="s">
        <v>3806</v>
      </c>
    </row>
    <row r="1839" spans="1:1">
      <c r="A1839" s="151" t="s">
        <v>3807</v>
      </c>
    </row>
    <row r="1840" spans="1:1">
      <c r="A1840" s="151" t="s">
        <v>3808</v>
      </c>
    </row>
    <row r="1841" spans="1:1">
      <c r="A1841" s="151" t="s">
        <v>3809</v>
      </c>
    </row>
    <row r="1842" spans="1:1">
      <c r="A1842" s="151" t="s">
        <v>3810</v>
      </c>
    </row>
    <row r="1843" spans="1:1">
      <c r="A1843" s="151" t="s">
        <v>3811</v>
      </c>
    </row>
    <row r="1844" spans="1:1">
      <c r="A1844" s="151" t="s">
        <v>3812</v>
      </c>
    </row>
    <row r="1845" spans="1:1">
      <c r="A1845" s="151" t="s">
        <v>3813</v>
      </c>
    </row>
    <row r="1846" spans="1:1">
      <c r="A1846" s="151" t="s">
        <v>3814</v>
      </c>
    </row>
    <row r="1847" spans="1:1">
      <c r="A1847" s="151" t="s">
        <v>3815</v>
      </c>
    </row>
    <row r="1848" spans="1:1">
      <c r="A1848" s="151" t="s">
        <v>3816</v>
      </c>
    </row>
    <row r="1849" spans="1:1">
      <c r="A1849" s="151" t="s">
        <v>3817</v>
      </c>
    </row>
    <row r="1850" spans="1:1">
      <c r="A1850" s="151" t="s">
        <v>3818</v>
      </c>
    </row>
    <row r="1851" spans="1:1">
      <c r="A1851" s="151" t="s">
        <v>3819</v>
      </c>
    </row>
    <row r="1852" spans="1:1">
      <c r="A1852" s="151" t="s">
        <v>3820</v>
      </c>
    </row>
    <row r="1853" spans="1:1">
      <c r="A1853" s="151" t="s">
        <v>3821</v>
      </c>
    </row>
    <row r="1854" spans="1:1">
      <c r="A1854" s="151" t="s">
        <v>3822</v>
      </c>
    </row>
    <row r="1855" spans="1:1">
      <c r="A1855" s="151" t="s">
        <v>3823</v>
      </c>
    </row>
    <row r="1856" spans="1:1">
      <c r="A1856" s="151" t="s">
        <v>3824</v>
      </c>
    </row>
    <row r="1857" spans="1:1">
      <c r="A1857" s="151" t="s">
        <v>3825</v>
      </c>
    </row>
    <row r="1858" spans="1:1">
      <c r="A1858" s="151" t="s">
        <v>3826</v>
      </c>
    </row>
    <row r="1859" spans="1:1">
      <c r="A1859" s="151" t="s">
        <v>3827</v>
      </c>
    </row>
    <row r="1860" spans="1:1">
      <c r="A1860" s="151" t="s">
        <v>3828</v>
      </c>
    </row>
    <row r="1861" spans="1:1">
      <c r="A1861" s="151" t="s">
        <v>3829</v>
      </c>
    </row>
    <row r="1862" spans="1:1">
      <c r="A1862" s="151" t="s">
        <v>3830</v>
      </c>
    </row>
    <row r="1863" spans="1:1">
      <c r="A1863" s="151" t="s">
        <v>3831</v>
      </c>
    </row>
    <row r="1864" spans="1:1">
      <c r="A1864" s="151" t="s">
        <v>3832</v>
      </c>
    </row>
    <row r="1865" spans="1:1">
      <c r="A1865" s="151" t="s">
        <v>3833</v>
      </c>
    </row>
    <row r="1866" spans="1:1">
      <c r="A1866" s="151" t="s">
        <v>3834</v>
      </c>
    </row>
    <row r="1867" spans="1:1">
      <c r="A1867" s="151" t="s">
        <v>3835</v>
      </c>
    </row>
    <row r="1868" spans="1:1">
      <c r="A1868" s="151" t="s">
        <v>3836</v>
      </c>
    </row>
    <row r="1869" spans="1:1">
      <c r="A1869" s="151" t="s">
        <v>3837</v>
      </c>
    </row>
    <row r="1870" spans="1:1">
      <c r="A1870" s="151" t="s">
        <v>3838</v>
      </c>
    </row>
    <row r="1871" spans="1:1">
      <c r="A1871" s="151" t="s">
        <v>3839</v>
      </c>
    </row>
    <row r="1872" spans="1:1">
      <c r="A1872" s="151" t="s">
        <v>3840</v>
      </c>
    </row>
    <row r="1873" spans="1:1">
      <c r="A1873" s="151" t="s">
        <v>3841</v>
      </c>
    </row>
    <row r="1874" spans="1:1">
      <c r="A1874" s="151" t="s">
        <v>3842</v>
      </c>
    </row>
    <row r="1875" spans="1:1">
      <c r="A1875" s="151" t="s">
        <v>3843</v>
      </c>
    </row>
    <row r="1876" spans="1:1">
      <c r="A1876" s="151" t="s">
        <v>3844</v>
      </c>
    </row>
    <row r="1877" spans="1:1">
      <c r="A1877" s="151" t="s">
        <v>3845</v>
      </c>
    </row>
    <row r="1878" spans="1:1">
      <c r="A1878" s="151" t="s">
        <v>3846</v>
      </c>
    </row>
    <row r="1879" spans="1:1">
      <c r="A1879" s="151" t="s">
        <v>3847</v>
      </c>
    </row>
    <row r="1880" spans="1:1">
      <c r="A1880" s="151" t="s">
        <v>3848</v>
      </c>
    </row>
    <row r="1881" spans="1:1">
      <c r="A1881" s="151" t="s">
        <v>3849</v>
      </c>
    </row>
    <row r="1882" spans="1:1">
      <c r="A1882" s="151" t="s">
        <v>3850</v>
      </c>
    </row>
    <row r="1883" spans="1:1">
      <c r="A1883" s="151" t="s">
        <v>3851</v>
      </c>
    </row>
    <row r="1884" spans="1:1">
      <c r="A1884" s="151" t="s">
        <v>3852</v>
      </c>
    </row>
    <row r="1885" spans="1:1">
      <c r="A1885" s="151" t="s">
        <v>3853</v>
      </c>
    </row>
    <row r="1886" spans="1:1">
      <c r="A1886" s="151" t="s">
        <v>3854</v>
      </c>
    </row>
    <row r="1887" spans="1:1">
      <c r="A1887" s="151" t="s">
        <v>3855</v>
      </c>
    </row>
    <row r="1888" spans="1:1">
      <c r="A1888" s="151" t="s">
        <v>3856</v>
      </c>
    </row>
    <row r="1889" spans="1:1">
      <c r="A1889" s="151" t="s">
        <v>3857</v>
      </c>
    </row>
    <row r="1890" spans="1:1">
      <c r="A1890" s="151" t="s">
        <v>3858</v>
      </c>
    </row>
    <row r="1891" spans="1:1">
      <c r="A1891" s="151" t="s">
        <v>3859</v>
      </c>
    </row>
    <row r="1892" spans="1:1">
      <c r="A1892" s="151" t="s">
        <v>3860</v>
      </c>
    </row>
    <row r="1893" spans="1:1">
      <c r="A1893" s="151" t="s">
        <v>3861</v>
      </c>
    </row>
    <row r="1894" spans="1:1">
      <c r="A1894" s="151" t="s">
        <v>3862</v>
      </c>
    </row>
    <row r="1895" spans="1:1">
      <c r="A1895" s="151" t="s">
        <v>3863</v>
      </c>
    </row>
    <row r="1896" spans="1:1">
      <c r="A1896" s="151" t="s">
        <v>3864</v>
      </c>
    </row>
    <row r="1897" spans="1:1">
      <c r="A1897" s="151" t="s">
        <v>3865</v>
      </c>
    </row>
    <row r="1898" spans="1:1">
      <c r="A1898" s="151" t="s">
        <v>3866</v>
      </c>
    </row>
    <row r="1899" spans="1:1">
      <c r="A1899" s="151" t="s">
        <v>3867</v>
      </c>
    </row>
    <row r="1900" spans="1:1">
      <c r="A1900" s="151" t="s">
        <v>3868</v>
      </c>
    </row>
    <row r="1901" spans="1:1">
      <c r="A1901" s="151" t="s">
        <v>3869</v>
      </c>
    </row>
    <row r="1902" spans="1:1">
      <c r="A1902" s="151" t="s">
        <v>3870</v>
      </c>
    </row>
    <row r="1903" spans="1:1">
      <c r="A1903" s="151" t="s">
        <v>3871</v>
      </c>
    </row>
    <row r="1904" spans="1:1">
      <c r="A1904" s="151" t="s">
        <v>3872</v>
      </c>
    </row>
    <row r="1905" spans="1:1">
      <c r="A1905" s="151" t="s">
        <v>3873</v>
      </c>
    </row>
    <row r="1906" spans="1:1">
      <c r="A1906" s="151" t="s">
        <v>3874</v>
      </c>
    </row>
    <row r="1907" spans="1:1">
      <c r="A1907" s="151" t="s">
        <v>3875</v>
      </c>
    </row>
    <row r="1908" spans="1:1">
      <c r="A1908" s="151" t="s">
        <v>3876</v>
      </c>
    </row>
    <row r="1909" spans="1:1">
      <c r="A1909" s="151" t="s">
        <v>3877</v>
      </c>
    </row>
    <row r="1910" spans="1:1">
      <c r="A1910" s="151" t="s">
        <v>3878</v>
      </c>
    </row>
    <row r="1911" spans="1:1">
      <c r="A1911" s="151" t="s">
        <v>3879</v>
      </c>
    </row>
    <row r="1912" spans="1:1">
      <c r="A1912" s="151" t="s">
        <v>3880</v>
      </c>
    </row>
    <row r="1913" spans="1:1">
      <c r="A1913" s="151" t="s">
        <v>3881</v>
      </c>
    </row>
    <row r="1914" spans="1:1">
      <c r="A1914" s="151" t="s">
        <v>3882</v>
      </c>
    </row>
    <row r="1915" spans="1:1">
      <c r="A1915" s="151" t="s">
        <v>3883</v>
      </c>
    </row>
    <row r="1916" spans="1:1">
      <c r="A1916" s="151" t="s">
        <v>3884</v>
      </c>
    </row>
    <row r="1917" spans="1:1">
      <c r="A1917" s="151" t="s">
        <v>3885</v>
      </c>
    </row>
    <row r="1918" spans="1:1">
      <c r="A1918" s="151" t="s">
        <v>3886</v>
      </c>
    </row>
    <row r="1919" spans="1:1">
      <c r="A1919" s="151" t="s">
        <v>3887</v>
      </c>
    </row>
    <row r="1920" spans="1:1">
      <c r="A1920" s="151" t="s">
        <v>3888</v>
      </c>
    </row>
    <row r="1921" spans="1:1">
      <c r="A1921" s="151" t="s">
        <v>3889</v>
      </c>
    </row>
    <row r="1922" spans="1:1">
      <c r="A1922" s="151" t="s">
        <v>3890</v>
      </c>
    </row>
    <row r="1923" spans="1:1">
      <c r="A1923" s="151" t="s">
        <v>3891</v>
      </c>
    </row>
    <row r="1924" spans="1:1">
      <c r="A1924" s="151" t="s">
        <v>3892</v>
      </c>
    </row>
    <row r="1925" spans="1:1">
      <c r="A1925" s="151" t="s">
        <v>3893</v>
      </c>
    </row>
    <row r="1926" spans="1:1">
      <c r="A1926" s="151" t="s">
        <v>3894</v>
      </c>
    </row>
    <row r="1927" spans="1:1">
      <c r="A1927" s="151" t="s">
        <v>3895</v>
      </c>
    </row>
    <row r="1928" spans="1:1">
      <c r="A1928" s="151" t="s">
        <v>3896</v>
      </c>
    </row>
    <row r="1929" spans="1:1">
      <c r="A1929" s="151" t="s">
        <v>3897</v>
      </c>
    </row>
    <row r="1930" spans="1:1">
      <c r="A1930" s="151" t="s">
        <v>3898</v>
      </c>
    </row>
    <row r="1931" spans="1:1">
      <c r="A1931" s="151" t="s">
        <v>3899</v>
      </c>
    </row>
    <row r="1932" spans="1:1">
      <c r="A1932" s="151" t="s">
        <v>3900</v>
      </c>
    </row>
    <row r="1933" spans="1:1">
      <c r="A1933" s="151" t="s">
        <v>3901</v>
      </c>
    </row>
    <row r="1934" spans="1:1">
      <c r="A1934" s="151" t="s">
        <v>3902</v>
      </c>
    </row>
    <row r="1935" spans="1:1">
      <c r="A1935" s="151" t="s">
        <v>3903</v>
      </c>
    </row>
    <row r="1936" spans="1:1">
      <c r="A1936" s="151" t="s">
        <v>3904</v>
      </c>
    </row>
    <row r="1937" spans="1:1">
      <c r="A1937" s="151" t="s">
        <v>3905</v>
      </c>
    </row>
    <row r="1938" spans="1:1">
      <c r="A1938" s="151" t="s">
        <v>3906</v>
      </c>
    </row>
    <row r="1939" spans="1:1">
      <c r="A1939" s="151" t="s">
        <v>3907</v>
      </c>
    </row>
    <row r="1940" spans="1:1">
      <c r="A1940" s="151" t="s">
        <v>3908</v>
      </c>
    </row>
    <row r="1941" spans="1:1">
      <c r="A1941" s="151" t="s">
        <v>3909</v>
      </c>
    </row>
    <row r="1942" spans="1:1">
      <c r="A1942" s="151" t="s">
        <v>3910</v>
      </c>
    </row>
    <row r="1943" spans="1:1">
      <c r="A1943" s="151" t="s">
        <v>3911</v>
      </c>
    </row>
    <row r="1944" spans="1:1">
      <c r="A1944" s="151" t="s">
        <v>3912</v>
      </c>
    </row>
    <row r="1945" spans="1:1">
      <c r="A1945" s="151" t="s">
        <v>3913</v>
      </c>
    </row>
    <row r="1946" spans="1:1">
      <c r="A1946" s="151" t="s">
        <v>3914</v>
      </c>
    </row>
    <row r="1947" spans="1:1">
      <c r="A1947" s="151" t="s">
        <v>3915</v>
      </c>
    </row>
    <row r="1948" spans="1:1">
      <c r="A1948" s="151" t="s">
        <v>3916</v>
      </c>
    </row>
    <row r="1949" spans="1:1">
      <c r="A1949" s="151" t="s">
        <v>3917</v>
      </c>
    </row>
    <row r="1950" spans="1:1">
      <c r="A1950" s="151" t="s">
        <v>3918</v>
      </c>
    </row>
    <row r="1951" spans="1:1">
      <c r="A1951" s="151" t="s">
        <v>3919</v>
      </c>
    </row>
    <row r="1952" spans="1:1">
      <c r="A1952" s="151" t="s">
        <v>3920</v>
      </c>
    </row>
    <row r="1953" spans="1:1">
      <c r="A1953" s="151" t="s">
        <v>3921</v>
      </c>
    </row>
    <row r="1954" spans="1:1">
      <c r="A1954" s="151" t="s">
        <v>3922</v>
      </c>
    </row>
    <row r="1955" spans="1:1">
      <c r="A1955" s="151" t="s">
        <v>3923</v>
      </c>
    </row>
    <row r="1956" spans="1:1">
      <c r="A1956" s="151" t="s">
        <v>3924</v>
      </c>
    </row>
    <row r="1957" spans="1:1">
      <c r="A1957" s="151" t="s">
        <v>3925</v>
      </c>
    </row>
    <row r="1958" spans="1:1">
      <c r="A1958" s="151" t="s">
        <v>3926</v>
      </c>
    </row>
    <row r="1959" spans="1:1">
      <c r="A1959" s="151" t="s">
        <v>3927</v>
      </c>
    </row>
    <row r="1960" spans="1:1">
      <c r="A1960" s="151" t="s">
        <v>3928</v>
      </c>
    </row>
    <row r="1961" spans="1:1">
      <c r="A1961" s="151" t="s">
        <v>3929</v>
      </c>
    </row>
    <row r="1962" spans="1:1">
      <c r="A1962" s="151" t="s">
        <v>3930</v>
      </c>
    </row>
    <row r="1963" spans="1:1">
      <c r="A1963" s="151" t="s">
        <v>3931</v>
      </c>
    </row>
    <row r="1964" spans="1:1">
      <c r="A1964" s="151" t="s">
        <v>3932</v>
      </c>
    </row>
    <row r="1965" spans="1:1">
      <c r="A1965" s="151" t="s">
        <v>3933</v>
      </c>
    </row>
    <row r="1966" spans="1:1">
      <c r="A1966" s="151" t="s">
        <v>3934</v>
      </c>
    </row>
    <row r="1967" spans="1:1">
      <c r="A1967" s="151" t="s">
        <v>3935</v>
      </c>
    </row>
    <row r="1968" spans="1:1">
      <c r="A1968" s="151" t="s">
        <v>3936</v>
      </c>
    </row>
    <row r="1969" spans="1:1">
      <c r="A1969" s="151" t="s">
        <v>3937</v>
      </c>
    </row>
    <row r="1970" spans="1:1">
      <c r="A1970" s="151" t="s">
        <v>3938</v>
      </c>
    </row>
    <row r="1971" spans="1:1">
      <c r="A1971" s="151" t="s">
        <v>3939</v>
      </c>
    </row>
    <row r="1972" spans="1:1">
      <c r="A1972" s="151" t="s">
        <v>3940</v>
      </c>
    </row>
    <row r="1973" spans="1:1">
      <c r="A1973" s="151" t="s">
        <v>3941</v>
      </c>
    </row>
    <row r="1974" spans="1:1">
      <c r="A1974" s="151" t="s">
        <v>3942</v>
      </c>
    </row>
    <row r="1975" spans="1:1">
      <c r="A1975" s="151" t="s">
        <v>3943</v>
      </c>
    </row>
    <row r="1976" spans="1:1">
      <c r="A1976" s="151" t="s">
        <v>3944</v>
      </c>
    </row>
    <row r="1977" spans="1:1">
      <c r="A1977" s="151" t="s">
        <v>3945</v>
      </c>
    </row>
    <row r="1978" spans="1:1">
      <c r="A1978" s="151" t="s">
        <v>3946</v>
      </c>
    </row>
    <row r="1979" spans="1:1">
      <c r="A1979" s="151" t="s">
        <v>3947</v>
      </c>
    </row>
    <row r="1980" spans="1:1">
      <c r="A1980" s="151" t="s">
        <v>3948</v>
      </c>
    </row>
    <row r="1981" spans="1:1">
      <c r="A1981" s="151" t="s">
        <v>3949</v>
      </c>
    </row>
    <row r="1982" spans="1:1">
      <c r="A1982" s="151" t="s">
        <v>3950</v>
      </c>
    </row>
    <row r="1983" spans="1:1">
      <c r="A1983" s="151" t="s">
        <v>3951</v>
      </c>
    </row>
    <row r="1984" spans="1:1">
      <c r="A1984" s="151" t="s">
        <v>3952</v>
      </c>
    </row>
    <row r="1985" spans="1:1">
      <c r="A1985" s="151" t="s">
        <v>3953</v>
      </c>
    </row>
    <row r="1986" spans="1:1">
      <c r="A1986" s="151" t="s">
        <v>3954</v>
      </c>
    </row>
    <row r="1987" spans="1:1">
      <c r="A1987" s="151" t="s">
        <v>3955</v>
      </c>
    </row>
    <row r="1988" spans="1:1">
      <c r="A1988" s="151" t="s">
        <v>3956</v>
      </c>
    </row>
    <row r="1989" spans="1:1">
      <c r="A1989" s="151" t="s">
        <v>3957</v>
      </c>
    </row>
    <row r="1990" spans="1:1">
      <c r="A1990" s="151" t="s">
        <v>3958</v>
      </c>
    </row>
    <row r="1991" spans="1:1">
      <c r="A1991" s="151" t="s">
        <v>3959</v>
      </c>
    </row>
    <row r="1992" spans="1:1">
      <c r="A1992" s="151" t="s">
        <v>3960</v>
      </c>
    </row>
    <row r="1993" spans="1:1">
      <c r="A1993" s="151" t="s">
        <v>3961</v>
      </c>
    </row>
    <row r="1994" spans="1:1">
      <c r="A1994" s="151" t="s">
        <v>3962</v>
      </c>
    </row>
    <row r="1995" spans="1:1">
      <c r="A1995" s="151" t="s">
        <v>3963</v>
      </c>
    </row>
    <row r="1996" spans="1:1">
      <c r="A1996" s="151" t="s">
        <v>3964</v>
      </c>
    </row>
    <row r="1997" spans="1:1">
      <c r="A1997" s="151" t="s">
        <v>3965</v>
      </c>
    </row>
    <row r="1998" spans="1:1">
      <c r="A1998" s="151" t="s">
        <v>3966</v>
      </c>
    </row>
    <row r="1999" spans="1:1">
      <c r="A1999" s="151" t="s">
        <v>3967</v>
      </c>
    </row>
    <row r="2000" spans="1:1">
      <c r="A2000" s="151" t="s">
        <v>3968</v>
      </c>
    </row>
    <row r="2001" spans="1:1">
      <c r="A2001" s="151" t="s">
        <v>3969</v>
      </c>
    </row>
    <row r="2002" spans="1:1">
      <c r="A2002" s="151" t="s">
        <v>3970</v>
      </c>
    </row>
    <row r="2003" spans="1:1">
      <c r="A2003" s="151" t="s">
        <v>3971</v>
      </c>
    </row>
    <row r="2004" spans="1:1">
      <c r="A2004" s="151" t="s">
        <v>3972</v>
      </c>
    </row>
    <row r="2005" spans="1:1">
      <c r="A2005" s="151" t="s">
        <v>3973</v>
      </c>
    </row>
    <row r="2006" spans="1:1">
      <c r="A2006" s="151" t="s">
        <v>3974</v>
      </c>
    </row>
    <row r="2007" spans="1:1">
      <c r="A2007" s="151" t="s">
        <v>3975</v>
      </c>
    </row>
    <row r="2008" spans="1:1">
      <c r="A2008" s="151" t="s">
        <v>3976</v>
      </c>
    </row>
    <row r="2009" spans="1:1">
      <c r="A2009" s="151" t="s">
        <v>3977</v>
      </c>
    </row>
    <row r="2010" spans="1:1">
      <c r="A2010" s="151" t="s">
        <v>3978</v>
      </c>
    </row>
    <row r="2011" spans="1:1">
      <c r="A2011" s="151" t="s">
        <v>3979</v>
      </c>
    </row>
    <row r="2012" spans="1:1">
      <c r="A2012" s="151" t="s">
        <v>3980</v>
      </c>
    </row>
    <row r="2013" spans="1:1">
      <c r="A2013" s="151" t="s">
        <v>3981</v>
      </c>
    </row>
    <row r="2014" spans="1:1">
      <c r="A2014" s="151" t="s">
        <v>3982</v>
      </c>
    </row>
    <row r="2015" spans="1:1">
      <c r="A2015" s="151" t="s">
        <v>3983</v>
      </c>
    </row>
    <row r="2016" spans="1:1">
      <c r="A2016" s="151" t="s">
        <v>3984</v>
      </c>
    </row>
    <row r="2017" spans="1:1">
      <c r="A2017" s="151" t="s">
        <v>3985</v>
      </c>
    </row>
    <row r="2018" spans="1:1">
      <c r="A2018" s="151" t="s">
        <v>3986</v>
      </c>
    </row>
    <row r="2019" spans="1:1">
      <c r="A2019" s="151" t="s">
        <v>3987</v>
      </c>
    </row>
    <row r="2020" spans="1:1">
      <c r="A2020" s="151" t="s">
        <v>3988</v>
      </c>
    </row>
    <row r="2021" spans="1:1">
      <c r="A2021" s="151" t="s">
        <v>3989</v>
      </c>
    </row>
    <row r="2022" spans="1:1">
      <c r="A2022" s="151" t="s">
        <v>3990</v>
      </c>
    </row>
    <row r="2023" spans="1:1">
      <c r="A2023" s="151" t="s">
        <v>3991</v>
      </c>
    </row>
    <row r="2024" spans="1:1">
      <c r="A2024" s="151" t="s">
        <v>3992</v>
      </c>
    </row>
    <row r="2025" spans="1:1">
      <c r="A2025" s="151" t="s">
        <v>3993</v>
      </c>
    </row>
    <row r="2026" spans="1:1">
      <c r="A2026" s="151" t="s">
        <v>3994</v>
      </c>
    </row>
    <row r="2027" spans="1:1">
      <c r="A2027" s="151" t="s">
        <v>3995</v>
      </c>
    </row>
    <row r="2028" spans="1:1">
      <c r="A2028" s="151" t="s">
        <v>3996</v>
      </c>
    </row>
    <row r="2029" spans="1:1">
      <c r="A2029" s="151" t="s">
        <v>3997</v>
      </c>
    </row>
    <row r="2030" spans="1:1">
      <c r="A2030" s="151" t="s">
        <v>3998</v>
      </c>
    </row>
    <row r="2031" spans="1:1">
      <c r="A2031" s="151" t="s">
        <v>3999</v>
      </c>
    </row>
    <row r="2032" spans="1:1">
      <c r="A2032" s="151" t="s">
        <v>4000</v>
      </c>
    </row>
    <row r="2033" spans="1:1">
      <c r="A2033" s="151" t="s">
        <v>4001</v>
      </c>
    </row>
    <row r="2034" spans="1:1">
      <c r="A2034" s="151" t="s">
        <v>4002</v>
      </c>
    </row>
    <row r="2035" spans="1:1">
      <c r="A2035" s="151" t="s">
        <v>4003</v>
      </c>
    </row>
    <row r="2036" spans="1:1">
      <c r="A2036" s="151" t="s">
        <v>4004</v>
      </c>
    </row>
    <row r="2037" spans="1:1">
      <c r="A2037" s="151" t="s">
        <v>4005</v>
      </c>
    </row>
    <row r="2038" spans="1:1">
      <c r="A2038" s="151" t="s">
        <v>4006</v>
      </c>
    </row>
    <row r="2039" spans="1:1">
      <c r="A2039" s="151" t="s">
        <v>4007</v>
      </c>
    </row>
    <row r="2040" spans="1:1">
      <c r="A2040" s="151" t="s">
        <v>4008</v>
      </c>
    </row>
    <row r="2041" spans="1:1">
      <c r="A2041" s="151" t="s">
        <v>4009</v>
      </c>
    </row>
    <row r="2042" spans="1:1">
      <c r="A2042" s="151" t="s">
        <v>4010</v>
      </c>
    </row>
    <row r="2043" spans="1:1">
      <c r="A2043" s="151" t="s">
        <v>4011</v>
      </c>
    </row>
    <row r="2044" spans="1:1">
      <c r="A2044" s="151" t="s">
        <v>4012</v>
      </c>
    </row>
    <row r="2045" spans="1:1">
      <c r="A2045" s="151" t="s">
        <v>4013</v>
      </c>
    </row>
    <row r="2046" spans="1:1">
      <c r="A2046" s="151" t="s">
        <v>4014</v>
      </c>
    </row>
    <row r="2047" spans="1:1">
      <c r="A2047" s="151" t="s">
        <v>4015</v>
      </c>
    </row>
    <row r="2048" spans="1:1">
      <c r="A2048" s="151" t="s">
        <v>4016</v>
      </c>
    </row>
    <row r="2049" spans="1:1">
      <c r="A2049" s="151" t="s">
        <v>4017</v>
      </c>
    </row>
    <row r="2050" spans="1:1">
      <c r="A2050" s="151" t="s">
        <v>4018</v>
      </c>
    </row>
    <row r="2051" spans="1:1">
      <c r="A2051" s="151" t="s">
        <v>4019</v>
      </c>
    </row>
    <row r="2052" spans="1:1">
      <c r="A2052" s="151" t="s">
        <v>4020</v>
      </c>
    </row>
    <row r="2053" spans="1:1">
      <c r="A2053" s="151" t="s">
        <v>4021</v>
      </c>
    </row>
    <row r="2054" spans="1:1">
      <c r="A2054" s="151" t="s">
        <v>4022</v>
      </c>
    </row>
    <row r="2055" spans="1:1">
      <c r="A2055" s="151" t="s">
        <v>4023</v>
      </c>
    </row>
    <row r="2056" spans="1:1">
      <c r="A2056" s="151" t="s">
        <v>4024</v>
      </c>
    </row>
    <row r="2057" spans="1:1">
      <c r="A2057" s="151" t="s">
        <v>4025</v>
      </c>
    </row>
    <row r="2058" spans="1:1">
      <c r="A2058" s="151" t="s">
        <v>4026</v>
      </c>
    </row>
    <row r="2059" spans="1:1">
      <c r="A2059" s="151" t="s">
        <v>4027</v>
      </c>
    </row>
    <row r="2060" spans="1:1">
      <c r="A2060" s="151" t="s">
        <v>4028</v>
      </c>
    </row>
    <row r="2061" spans="1:1">
      <c r="A2061" s="151" t="s">
        <v>4029</v>
      </c>
    </row>
    <row r="2062" spans="1:1">
      <c r="A2062" s="151" t="s">
        <v>4030</v>
      </c>
    </row>
    <row r="2063" spans="1:1">
      <c r="A2063" s="151" t="s">
        <v>4031</v>
      </c>
    </row>
    <row r="2064" spans="1:1">
      <c r="A2064" s="151" t="s">
        <v>4032</v>
      </c>
    </row>
    <row r="2065" spans="1:1">
      <c r="A2065" s="151" t="s">
        <v>4033</v>
      </c>
    </row>
    <row r="2066" spans="1:1">
      <c r="A2066" s="151" t="s">
        <v>4034</v>
      </c>
    </row>
    <row r="2067" spans="1:1">
      <c r="A2067" s="151" t="s">
        <v>4035</v>
      </c>
    </row>
    <row r="2068" spans="1:1">
      <c r="A2068" s="151" t="s">
        <v>4036</v>
      </c>
    </row>
    <row r="2069" spans="1:1">
      <c r="A2069" s="151" t="s">
        <v>4037</v>
      </c>
    </row>
    <row r="2070" spans="1:1">
      <c r="A2070" s="151" t="s">
        <v>4038</v>
      </c>
    </row>
    <row r="2071" spans="1:1">
      <c r="A2071" s="151" t="s">
        <v>4039</v>
      </c>
    </row>
    <row r="2072" spans="1:1">
      <c r="A2072" s="151" t="s">
        <v>4040</v>
      </c>
    </row>
    <row r="2073" spans="1:1">
      <c r="A2073" s="151" t="s">
        <v>4041</v>
      </c>
    </row>
    <row r="2074" spans="1:1">
      <c r="A2074" s="151" t="s">
        <v>4042</v>
      </c>
    </row>
    <row r="2075" spans="1:1">
      <c r="A2075" s="151" t="s">
        <v>4043</v>
      </c>
    </row>
    <row r="2076" spans="1:1">
      <c r="A2076" s="151" t="s">
        <v>4044</v>
      </c>
    </row>
    <row r="2077" spans="1:1">
      <c r="A2077" s="151" t="s">
        <v>4045</v>
      </c>
    </row>
    <row r="2078" spans="1:1">
      <c r="A2078" s="151" t="s">
        <v>4046</v>
      </c>
    </row>
    <row r="2079" spans="1:1">
      <c r="A2079" s="151" t="s">
        <v>4047</v>
      </c>
    </row>
    <row r="2080" spans="1:1">
      <c r="A2080" s="151" t="s">
        <v>4048</v>
      </c>
    </row>
    <row r="2081" spans="1:1">
      <c r="A2081" s="151" t="s">
        <v>4049</v>
      </c>
    </row>
    <row r="2082" spans="1:1">
      <c r="A2082" s="151" t="s">
        <v>4050</v>
      </c>
    </row>
    <row r="2083" spans="1:1">
      <c r="A2083" s="151" t="s">
        <v>4051</v>
      </c>
    </row>
    <row r="2084" spans="1:1">
      <c r="A2084" s="151" t="s">
        <v>4052</v>
      </c>
    </row>
    <row r="2085" spans="1:1">
      <c r="A2085" s="151" t="s">
        <v>4053</v>
      </c>
    </row>
    <row r="2086" spans="1:1">
      <c r="A2086" s="151" t="s">
        <v>4054</v>
      </c>
    </row>
    <row r="2087" spans="1:1">
      <c r="A2087" s="151" t="s">
        <v>4055</v>
      </c>
    </row>
    <row r="2088" spans="1:1">
      <c r="A2088" s="151" t="s">
        <v>4056</v>
      </c>
    </row>
    <row r="2089" spans="1:1">
      <c r="A2089" s="151" t="s">
        <v>4057</v>
      </c>
    </row>
    <row r="2090" spans="1:1">
      <c r="A2090" s="151" t="s">
        <v>4058</v>
      </c>
    </row>
    <row r="2091" spans="1:1">
      <c r="A2091" s="151" t="s">
        <v>4059</v>
      </c>
    </row>
    <row r="2092" spans="1:1">
      <c r="A2092" s="151" t="s">
        <v>4060</v>
      </c>
    </row>
    <row r="2093" spans="1:1">
      <c r="A2093" s="151" t="s">
        <v>4061</v>
      </c>
    </row>
    <row r="2094" spans="1:1">
      <c r="A2094" s="151" t="s">
        <v>4062</v>
      </c>
    </row>
    <row r="2095" spans="1:1">
      <c r="A2095" s="151" t="s">
        <v>4063</v>
      </c>
    </row>
    <row r="2096" spans="1:1">
      <c r="A2096" s="151" t="s">
        <v>4064</v>
      </c>
    </row>
    <row r="2097" spans="1:1">
      <c r="A2097" s="151" t="s">
        <v>4065</v>
      </c>
    </row>
    <row r="2098" spans="1:1">
      <c r="A2098" s="151" t="s">
        <v>4066</v>
      </c>
    </row>
    <row r="2099" spans="1:1">
      <c r="A2099" s="151" t="s">
        <v>4067</v>
      </c>
    </row>
    <row r="2100" spans="1:1">
      <c r="A2100" s="151" t="s">
        <v>4068</v>
      </c>
    </row>
    <row r="2101" spans="1:1">
      <c r="A2101" s="151" t="s">
        <v>4069</v>
      </c>
    </row>
    <row r="2102" spans="1:1">
      <c r="A2102" s="151" t="s">
        <v>4070</v>
      </c>
    </row>
    <row r="2103" spans="1:1">
      <c r="A2103" s="151" t="s">
        <v>4071</v>
      </c>
    </row>
    <row r="2104" spans="1:1">
      <c r="A2104" s="151" t="s">
        <v>4072</v>
      </c>
    </row>
    <row r="2105" spans="1:1">
      <c r="A2105" s="151" t="s">
        <v>4073</v>
      </c>
    </row>
    <row r="2106" spans="1:1">
      <c r="A2106" s="151" t="s">
        <v>4074</v>
      </c>
    </row>
    <row r="2107" spans="1:1">
      <c r="A2107" s="151" t="s">
        <v>4075</v>
      </c>
    </row>
    <row r="2108" spans="1:1">
      <c r="A2108" s="151" t="s">
        <v>4076</v>
      </c>
    </row>
    <row r="2109" spans="1:1">
      <c r="A2109" s="151" t="s">
        <v>4077</v>
      </c>
    </row>
    <row r="2110" spans="1:1">
      <c r="A2110" s="151" t="s">
        <v>4078</v>
      </c>
    </row>
    <row r="2111" spans="1:1">
      <c r="A2111" s="151" t="s">
        <v>4079</v>
      </c>
    </row>
    <row r="2112" spans="1:1">
      <c r="A2112" s="151" t="s">
        <v>4080</v>
      </c>
    </row>
    <row r="2113" spans="1:1">
      <c r="A2113" s="151" t="s">
        <v>4081</v>
      </c>
    </row>
    <row r="2114" spans="1:1">
      <c r="A2114" s="151" t="s">
        <v>4082</v>
      </c>
    </row>
    <row r="2115" spans="1:1">
      <c r="A2115" s="151" t="s">
        <v>4083</v>
      </c>
    </row>
    <row r="2116" spans="1:1">
      <c r="A2116" s="151" t="s">
        <v>4084</v>
      </c>
    </row>
    <row r="2117" spans="1:1">
      <c r="A2117" s="151" t="s">
        <v>4085</v>
      </c>
    </row>
    <row r="2118" spans="1:1">
      <c r="A2118" s="151" t="s">
        <v>4086</v>
      </c>
    </row>
    <row r="2119" spans="1:1">
      <c r="A2119" s="151" t="s">
        <v>4087</v>
      </c>
    </row>
    <row r="2120" spans="1:1">
      <c r="A2120" s="151" t="s">
        <v>4088</v>
      </c>
    </row>
    <row r="2121" spans="1:1">
      <c r="A2121" s="151" t="s">
        <v>4089</v>
      </c>
    </row>
    <row r="2122" spans="1:1">
      <c r="A2122" s="151" t="s">
        <v>4090</v>
      </c>
    </row>
    <row r="2123" spans="1:1">
      <c r="A2123" s="151" t="s">
        <v>4091</v>
      </c>
    </row>
    <row r="2124" spans="1:1">
      <c r="A2124" s="151" t="s">
        <v>4092</v>
      </c>
    </row>
    <row r="2125" spans="1:1">
      <c r="A2125" s="151" t="s">
        <v>4093</v>
      </c>
    </row>
    <row r="2126" spans="1:1">
      <c r="A2126" s="151" t="s">
        <v>4094</v>
      </c>
    </row>
    <row r="2127" spans="1:1">
      <c r="A2127" s="151" t="s">
        <v>4095</v>
      </c>
    </row>
    <row r="2128" spans="1:1">
      <c r="A2128" s="151" t="s">
        <v>4096</v>
      </c>
    </row>
    <row r="2129" spans="1:1">
      <c r="A2129" s="151" t="s">
        <v>4097</v>
      </c>
    </row>
    <row r="2130" spans="1:1">
      <c r="A2130" s="151" t="s">
        <v>4098</v>
      </c>
    </row>
    <row r="2131" spans="1:1">
      <c r="A2131" s="151" t="s">
        <v>4099</v>
      </c>
    </row>
    <row r="2132" spans="1:1">
      <c r="A2132" s="151" t="s">
        <v>4100</v>
      </c>
    </row>
    <row r="2133" spans="1:1">
      <c r="A2133" s="151" t="s">
        <v>4101</v>
      </c>
    </row>
    <row r="2134" spans="1:1">
      <c r="A2134" s="151" t="s">
        <v>4102</v>
      </c>
    </row>
    <row r="2135" spans="1:1">
      <c r="A2135" s="151" t="s">
        <v>4103</v>
      </c>
    </row>
    <row r="2136" spans="1:1">
      <c r="A2136" s="151" t="s">
        <v>4104</v>
      </c>
    </row>
    <row r="2137" spans="1:1">
      <c r="A2137" s="151" t="s">
        <v>4105</v>
      </c>
    </row>
    <row r="2138" spans="1:1">
      <c r="A2138" s="151" t="s">
        <v>4106</v>
      </c>
    </row>
    <row r="2139" spans="1:1">
      <c r="A2139" s="151" t="s">
        <v>4107</v>
      </c>
    </row>
    <row r="2140" spans="1:1">
      <c r="A2140" s="151" t="s">
        <v>4108</v>
      </c>
    </row>
    <row r="2141" spans="1:1">
      <c r="A2141" s="151" t="s">
        <v>4109</v>
      </c>
    </row>
    <row r="2142" spans="1:1">
      <c r="A2142" s="151" t="s">
        <v>4110</v>
      </c>
    </row>
    <row r="2143" spans="1:1">
      <c r="A2143" s="151" t="s">
        <v>4111</v>
      </c>
    </row>
    <row r="2144" spans="1:1">
      <c r="A2144" s="151" t="s">
        <v>4112</v>
      </c>
    </row>
    <row r="2145" spans="1:1">
      <c r="A2145" s="151" t="s">
        <v>4113</v>
      </c>
    </row>
    <row r="2146" spans="1:1">
      <c r="A2146" s="151" t="s">
        <v>4114</v>
      </c>
    </row>
    <row r="2147" spans="1:1">
      <c r="A2147" s="151" t="s">
        <v>4115</v>
      </c>
    </row>
    <row r="2148" spans="1:1">
      <c r="A2148" s="151" t="s">
        <v>4116</v>
      </c>
    </row>
    <row r="2149" spans="1:1">
      <c r="A2149" s="151" t="s">
        <v>4117</v>
      </c>
    </row>
    <row r="2150" spans="1:1">
      <c r="A2150" s="151" t="s">
        <v>4118</v>
      </c>
    </row>
    <row r="2151" spans="1:1">
      <c r="A2151" s="151" t="s">
        <v>4119</v>
      </c>
    </row>
    <row r="2152" spans="1:1">
      <c r="A2152" s="151" t="s">
        <v>4120</v>
      </c>
    </row>
    <row r="2153" spans="1:1">
      <c r="A2153" s="151" t="s">
        <v>4121</v>
      </c>
    </row>
    <row r="2154" spans="1:1">
      <c r="A2154" s="151" t="s">
        <v>4122</v>
      </c>
    </row>
    <row r="2155" spans="1:1">
      <c r="A2155" s="151" t="s">
        <v>4123</v>
      </c>
    </row>
    <row r="2156" spans="1:1">
      <c r="A2156" s="151" t="s">
        <v>4124</v>
      </c>
    </row>
    <row r="2157" spans="1:1">
      <c r="A2157" s="151" t="s">
        <v>4125</v>
      </c>
    </row>
    <row r="2158" spans="1:1">
      <c r="A2158" s="151" t="s">
        <v>4126</v>
      </c>
    </row>
    <row r="2159" spans="1:1">
      <c r="A2159" s="151" t="s">
        <v>4127</v>
      </c>
    </row>
    <row r="2160" spans="1:1">
      <c r="A2160" s="151" t="s">
        <v>4128</v>
      </c>
    </row>
    <row r="2161" spans="1:1">
      <c r="A2161" s="151" t="s">
        <v>4129</v>
      </c>
    </row>
    <row r="2162" spans="1:1">
      <c r="A2162" s="151" t="s">
        <v>4130</v>
      </c>
    </row>
    <row r="2163" spans="1:1">
      <c r="A2163" s="151" t="s">
        <v>4131</v>
      </c>
    </row>
    <row r="2164" spans="1:1">
      <c r="A2164" s="151" t="s">
        <v>4132</v>
      </c>
    </row>
    <row r="2165" spans="1:1">
      <c r="A2165" s="151" t="s">
        <v>4133</v>
      </c>
    </row>
    <row r="2166" spans="1:1">
      <c r="A2166" s="151" t="s">
        <v>4134</v>
      </c>
    </row>
    <row r="2167" spans="1:1">
      <c r="A2167" s="151" t="s">
        <v>4135</v>
      </c>
    </row>
    <row r="2168" spans="1:1">
      <c r="A2168" s="151" t="s">
        <v>4136</v>
      </c>
    </row>
    <row r="2169" spans="1:1">
      <c r="A2169" s="151" t="s">
        <v>4137</v>
      </c>
    </row>
    <row r="2170" spans="1:1">
      <c r="A2170" s="151" t="s">
        <v>4138</v>
      </c>
    </row>
    <row r="2171" spans="1:1">
      <c r="A2171" s="151" t="s">
        <v>4139</v>
      </c>
    </row>
    <row r="2172" spans="1:1">
      <c r="A2172" s="151" t="s">
        <v>4140</v>
      </c>
    </row>
    <row r="2173" spans="1:1">
      <c r="A2173" s="151" t="s">
        <v>4141</v>
      </c>
    </row>
    <row r="2174" spans="1:1">
      <c r="A2174" s="151" t="s">
        <v>4142</v>
      </c>
    </row>
    <row r="2175" spans="1:1">
      <c r="A2175" s="151" t="s">
        <v>4143</v>
      </c>
    </row>
    <row r="2176" spans="1:1">
      <c r="A2176" s="151" t="s">
        <v>4144</v>
      </c>
    </row>
    <row r="2177" spans="1:1">
      <c r="A2177" s="151" t="s">
        <v>4145</v>
      </c>
    </row>
    <row r="2178" spans="1:1">
      <c r="A2178" s="151" t="s">
        <v>4146</v>
      </c>
    </row>
    <row r="2179" spans="1:1">
      <c r="A2179" s="151" t="s">
        <v>4147</v>
      </c>
    </row>
    <row r="2180" spans="1:1">
      <c r="A2180" s="151" t="s">
        <v>4148</v>
      </c>
    </row>
    <row r="2181" spans="1:1">
      <c r="A2181" s="151" t="s">
        <v>4149</v>
      </c>
    </row>
    <row r="2182" spans="1:1">
      <c r="A2182" s="151" t="s">
        <v>4150</v>
      </c>
    </row>
    <row r="2183" spans="1:1">
      <c r="A2183" s="151" t="s">
        <v>4151</v>
      </c>
    </row>
    <row r="2184" spans="1:1">
      <c r="A2184" s="151" t="s">
        <v>4152</v>
      </c>
    </row>
    <row r="2185" spans="1:1">
      <c r="A2185" s="151" t="s">
        <v>4153</v>
      </c>
    </row>
    <row r="2186" spans="1:1">
      <c r="A2186" s="151" t="s">
        <v>4154</v>
      </c>
    </row>
    <row r="2187" spans="1:1">
      <c r="A2187" s="151" t="s">
        <v>4155</v>
      </c>
    </row>
    <row r="2188" spans="1:1">
      <c r="A2188" s="151" t="s">
        <v>4156</v>
      </c>
    </row>
    <row r="2189" spans="1:1">
      <c r="A2189" s="151" t="s">
        <v>4157</v>
      </c>
    </row>
    <row r="2190" spans="1:1">
      <c r="A2190" s="151" t="s">
        <v>4158</v>
      </c>
    </row>
    <row r="2191" spans="1:1">
      <c r="A2191" s="151" t="s">
        <v>4159</v>
      </c>
    </row>
    <row r="2192" spans="1:1">
      <c r="A2192" s="151" t="s">
        <v>4160</v>
      </c>
    </row>
    <row r="2193" spans="1:1">
      <c r="A2193" s="151" t="s">
        <v>4161</v>
      </c>
    </row>
    <row r="2194" spans="1:1">
      <c r="A2194" s="151" t="s">
        <v>4162</v>
      </c>
    </row>
    <row r="2195" spans="1:1">
      <c r="A2195" s="151" t="s">
        <v>4163</v>
      </c>
    </row>
    <row r="2196" spans="1:1">
      <c r="A2196" s="151" t="s">
        <v>4164</v>
      </c>
    </row>
    <row r="2197" spans="1:1">
      <c r="A2197" s="151" t="s">
        <v>4165</v>
      </c>
    </row>
    <row r="2198" spans="1:1">
      <c r="A2198" s="151" t="s">
        <v>4166</v>
      </c>
    </row>
    <row r="2199" spans="1:1">
      <c r="A2199" s="151" t="s">
        <v>4167</v>
      </c>
    </row>
    <row r="2200" spans="1:1">
      <c r="A2200" s="151" t="s">
        <v>4168</v>
      </c>
    </row>
    <row r="2201" spans="1:1">
      <c r="A2201" s="151" t="s">
        <v>4169</v>
      </c>
    </row>
    <row r="2202" spans="1:1">
      <c r="A2202" s="151" t="s">
        <v>4170</v>
      </c>
    </row>
    <row r="2203" spans="1:1">
      <c r="A2203" s="151" t="s">
        <v>4171</v>
      </c>
    </row>
    <row r="2204" spans="1:1">
      <c r="A2204" s="151" t="s">
        <v>4172</v>
      </c>
    </row>
    <row r="2205" spans="1:1">
      <c r="A2205" s="151" t="s">
        <v>4173</v>
      </c>
    </row>
    <row r="2206" spans="1:1">
      <c r="A2206" s="151" t="s">
        <v>4174</v>
      </c>
    </row>
    <row r="2207" spans="1:1">
      <c r="A2207" s="151" t="s">
        <v>4175</v>
      </c>
    </row>
    <row r="2208" spans="1:1">
      <c r="A2208" s="151" t="s">
        <v>4176</v>
      </c>
    </row>
    <row r="2209" spans="1:1">
      <c r="A2209" s="151" t="s">
        <v>4177</v>
      </c>
    </row>
    <row r="2210" spans="1:1">
      <c r="A2210" s="151" t="s">
        <v>4178</v>
      </c>
    </row>
    <row r="2211" spans="1:1">
      <c r="A2211" s="151" t="s">
        <v>4179</v>
      </c>
    </row>
    <row r="2212" spans="1:1">
      <c r="A2212" s="151" t="s">
        <v>4180</v>
      </c>
    </row>
    <row r="2213" spans="1:1">
      <c r="A2213" s="151" t="s">
        <v>4181</v>
      </c>
    </row>
    <row r="2214" spans="1:1">
      <c r="A2214" s="151" t="s">
        <v>4182</v>
      </c>
    </row>
    <row r="2215" spans="1:1">
      <c r="A2215" s="151" t="s">
        <v>4183</v>
      </c>
    </row>
    <row r="2216" spans="1:1">
      <c r="A2216" s="151" t="s">
        <v>4184</v>
      </c>
    </row>
    <row r="2217" spans="1:1">
      <c r="A2217" s="151" t="s">
        <v>4185</v>
      </c>
    </row>
    <row r="2218" spans="1:1">
      <c r="A2218" s="151" t="s">
        <v>4186</v>
      </c>
    </row>
    <row r="2219" spans="1:1">
      <c r="A2219" s="151" t="s">
        <v>4187</v>
      </c>
    </row>
    <row r="2220" spans="1:1">
      <c r="A2220" s="151" t="s">
        <v>4188</v>
      </c>
    </row>
    <row r="2221" spans="1:1">
      <c r="A2221" s="151" t="s">
        <v>4189</v>
      </c>
    </row>
    <row r="2222" spans="1:1">
      <c r="A2222" s="151" t="s">
        <v>4190</v>
      </c>
    </row>
    <row r="2223" spans="1:1">
      <c r="A2223" s="151" t="s">
        <v>4191</v>
      </c>
    </row>
    <row r="2224" spans="1:1">
      <c r="A2224" s="151" t="s">
        <v>4192</v>
      </c>
    </row>
    <row r="2225" spans="1:1">
      <c r="A2225" s="151" t="s">
        <v>4193</v>
      </c>
    </row>
    <row r="2226" spans="1:1">
      <c r="A2226" s="151" t="s">
        <v>4194</v>
      </c>
    </row>
    <row r="2227" spans="1:1">
      <c r="A2227" s="151" t="s">
        <v>4195</v>
      </c>
    </row>
    <row r="2228" spans="1:1">
      <c r="A2228" s="151" t="s">
        <v>4196</v>
      </c>
    </row>
    <row r="2229" spans="1:1">
      <c r="A2229" s="151" t="s">
        <v>4197</v>
      </c>
    </row>
    <row r="2230" spans="1:1">
      <c r="A2230" s="151" t="s">
        <v>4198</v>
      </c>
    </row>
    <row r="2231" spans="1:1">
      <c r="A2231" s="151" t="s">
        <v>4199</v>
      </c>
    </row>
    <row r="2232" spans="1:1">
      <c r="A2232" s="151" t="s">
        <v>4200</v>
      </c>
    </row>
    <row r="2233" spans="1:1">
      <c r="A2233" s="151" t="s">
        <v>4201</v>
      </c>
    </row>
    <row r="2234" spans="1:1">
      <c r="A2234" s="151" t="s">
        <v>4202</v>
      </c>
    </row>
    <row r="2235" spans="1:1">
      <c r="A2235" s="151" t="s">
        <v>4203</v>
      </c>
    </row>
    <row r="2236" spans="1:1">
      <c r="A2236" s="151" t="s">
        <v>4204</v>
      </c>
    </row>
    <row r="2237" spans="1:1">
      <c r="A2237" s="151" t="s">
        <v>4205</v>
      </c>
    </row>
    <row r="2238" spans="1:1">
      <c r="A2238" s="151" t="s">
        <v>4206</v>
      </c>
    </row>
    <row r="2239" spans="1:1">
      <c r="A2239" s="151" t="s">
        <v>4207</v>
      </c>
    </row>
    <row r="2240" spans="1:1">
      <c r="A2240" s="151" t="s">
        <v>4208</v>
      </c>
    </row>
    <row r="2241" spans="1:1">
      <c r="A2241" s="151" t="s">
        <v>4209</v>
      </c>
    </row>
    <row r="2242" spans="1:1">
      <c r="A2242" s="151" t="s">
        <v>4210</v>
      </c>
    </row>
    <row r="2243" spans="1:1">
      <c r="A2243" s="151" t="s">
        <v>4211</v>
      </c>
    </row>
    <row r="2244" spans="1:1">
      <c r="A2244" s="151" t="s">
        <v>4212</v>
      </c>
    </row>
    <row r="2245" spans="1:1">
      <c r="A2245" s="151" t="s">
        <v>4213</v>
      </c>
    </row>
    <row r="2246" spans="1:1">
      <c r="A2246" s="151" t="s">
        <v>4214</v>
      </c>
    </row>
    <row r="2247" spans="1:1">
      <c r="A2247" s="151" t="s">
        <v>4215</v>
      </c>
    </row>
    <row r="2248" spans="1:1">
      <c r="A2248" s="151" t="s">
        <v>4216</v>
      </c>
    </row>
    <row r="2249" spans="1:1">
      <c r="A2249" s="151" t="s">
        <v>4217</v>
      </c>
    </row>
    <row r="2250" spans="1:1">
      <c r="A2250" s="151" t="s">
        <v>4218</v>
      </c>
    </row>
    <row r="2251" spans="1:1">
      <c r="A2251" s="151" t="s">
        <v>4219</v>
      </c>
    </row>
    <row r="2252" spans="1:1">
      <c r="A2252" s="151" t="s">
        <v>4220</v>
      </c>
    </row>
    <row r="2253" spans="1:1">
      <c r="A2253" s="151" t="s">
        <v>4221</v>
      </c>
    </row>
    <row r="2254" spans="1:1">
      <c r="A2254" s="151" t="s">
        <v>4222</v>
      </c>
    </row>
    <row r="2255" spans="1:1">
      <c r="A2255" s="151" t="s">
        <v>4223</v>
      </c>
    </row>
    <row r="2256" spans="1:1">
      <c r="A2256" s="151" t="s">
        <v>4224</v>
      </c>
    </row>
    <row r="2257" spans="1:1">
      <c r="A2257" s="151" t="s">
        <v>4225</v>
      </c>
    </row>
    <row r="2258" spans="1:1">
      <c r="A2258" s="151" t="s">
        <v>4226</v>
      </c>
    </row>
    <row r="2259" spans="1:1">
      <c r="A2259" s="151" t="s">
        <v>4227</v>
      </c>
    </row>
    <row r="2260" spans="1:1">
      <c r="A2260" s="151" t="s">
        <v>4228</v>
      </c>
    </row>
    <row r="2261" spans="1:1">
      <c r="A2261" s="151" t="s">
        <v>4229</v>
      </c>
    </row>
    <row r="2262" spans="1:1">
      <c r="A2262" s="151" t="s">
        <v>4230</v>
      </c>
    </row>
    <row r="2263" spans="1:1">
      <c r="A2263" s="151" t="s">
        <v>4231</v>
      </c>
    </row>
    <row r="2264" spans="1:1">
      <c r="A2264" s="151" t="s">
        <v>4232</v>
      </c>
    </row>
    <row r="2265" spans="1:1">
      <c r="A2265" s="151" t="s">
        <v>4233</v>
      </c>
    </row>
    <row r="2266" spans="1:1">
      <c r="A2266" s="151" t="s">
        <v>4234</v>
      </c>
    </row>
    <row r="2267" spans="1:1">
      <c r="A2267" s="151" t="s">
        <v>4235</v>
      </c>
    </row>
    <row r="2268" spans="1:1">
      <c r="A2268" s="151" t="s">
        <v>4236</v>
      </c>
    </row>
    <row r="2269" spans="1:1">
      <c r="A2269" s="151" t="s">
        <v>4237</v>
      </c>
    </row>
    <row r="2270" spans="1:1">
      <c r="A2270" s="151" t="s">
        <v>4238</v>
      </c>
    </row>
    <row r="2271" spans="1:1">
      <c r="A2271" s="151" t="s">
        <v>4239</v>
      </c>
    </row>
    <row r="2272" spans="1:1">
      <c r="A2272" s="151" t="s">
        <v>4240</v>
      </c>
    </row>
    <row r="2273" spans="1:1">
      <c r="A2273" s="151" t="s">
        <v>4241</v>
      </c>
    </row>
    <row r="2274" spans="1:1">
      <c r="A2274" s="151" t="s">
        <v>4242</v>
      </c>
    </row>
    <row r="2275" spans="1:1">
      <c r="A2275" s="151" t="s">
        <v>4243</v>
      </c>
    </row>
    <row r="2276" spans="1:1">
      <c r="A2276" s="151" t="s">
        <v>4244</v>
      </c>
    </row>
    <row r="2277" spans="1:1">
      <c r="A2277" s="151" t="s">
        <v>4245</v>
      </c>
    </row>
    <row r="2278" spans="1:1">
      <c r="A2278" s="151" t="s">
        <v>4246</v>
      </c>
    </row>
    <row r="2279" spans="1:1">
      <c r="A2279" s="151" t="s">
        <v>4247</v>
      </c>
    </row>
    <row r="2280" spans="1:1">
      <c r="A2280" s="151" t="s">
        <v>4248</v>
      </c>
    </row>
    <row r="2281" spans="1:1">
      <c r="A2281" s="151" t="s">
        <v>4249</v>
      </c>
    </row>
    <row r="2282" spans="1:1">
      <c r="A2282" s="151" t="s">
        <v>4250</v>
      </c>
    </row>
    <row r="2283" spans="1:1">
      <c r="A2283" s="151" t="s">
        <v>4251</v>
      </c>
    </row>
    <row r="2284" spans="1:1">
      <c r="A2284" s="151" t="s">
        <v>4252</v>
      </c>
    </row>
    <row r="2285" spans="1:1">
      <c r="A2285" s="151" t="s">
        <v>4253</v>
      </c>
    </row>
    <row r="2286" spans="1:1">
      <c r="A2286" s="151" t="s">
        <v>4254</v>
      </c>
    </row>
    <row r="2287" spans="1:1">
      <c r="A2287" s="151" t="s">
        <v>4255</v>
      </c>
    </row>
    <row r="2288" spans="1:1">
      <c r="A2288" s="151" t="s">
        <v>4256</v>
      </c>
    </row>
    <row r="2289" spans="1:1">
      <c r="A2289" s="151" t="s">
        <v>4257</v>
      </c>
    </row>
    <row r="2290" spans="1:1">
      <c r="A2290" s="151" t="s">
        <v>4258</v>
      </c>
    </row>
    <row r="2291" spans="1:1">
      <c r="A2291" s="151" t="s">
        <v>4259</v>
      </c>
    </row>
    <row r="2292" spans="1:1">
      <c r="A2292" s="151" t="s">
        <v>4260</v>
      </c>
    </row>
    <row r="2293" spans="1:1">
      <c r="A2293" s="151" t="s">
        <v>4261</v>
      </c>
    </row>
    <row r="2294" spans="1:1">
      <c r="A2294" s="151" t="s">
        <v>4262</v>
      </c>
    </row>
    <row r="2295" spans="1:1">
      <c r="A2295" s="151" t="s">
        <v>4263</v>
      </c>
    </row>
    <row r="2296" spans="1:1">
      <c r="A2296" s="151" t="s">
        <v>4264</v>
      </c>
    </row>
    <row r="2297" spans="1:1">
      <c r="A2297" s="151" t="s">
        <v>4265</v>
      </c>
    </row>
    <row r="2298" spans="1:1">
      <c r="A2298" s="151" t="s">
        <v>4266</v>
      </c>
    </row>
    <row r="2299" spans="1:1">
      <c r="A2299" s="151" t="s">
        <v>4267</v>
      </c>
    </row>
    <row r="2300" spans="1:1">
      <c r="A2300" s="151" t="s">
        <v>4268</v>
      </c>
    </row>
    <row r="2301" spans="1:1">
      <c r="A2301" s="151" t="s">
        <v>4269</v>
      </c>
    </row>
    <row r="2302" spans="1:1">
      <c r="A2302" s="151" t="s">
        <v>4270</v>
      </c>
    </row>
    <row r="2303" spans="1:1">
      <c r="A2303" s="151" t="s">
        <v>4271</v>
      </c>
    </row>
    <row r="2304" spans="1:1">
      <c r="A2304" s="151" t="s">
        <v>4272</v>
      </c>
    </row>
    <row r="2305" spans="1:1">
      <c r="A2305" s="151" t="s">
        <v>4273</v>
      </c>
    </row>
    <row r="2306" spans="1:1">
      <c r="A2306" s="151" t="s">
        <v>4274</v>
      </c>
    </row>
    <row r="2307" spans="1:1">
      <c r="A2307" s="151" t="s">
        <v>4275</v>
      </c>
    </row>
    <row r="2308" spans="1:1">
      <c r="A2308" s="151" t="s">
        <v>4276</v>
      </c>
    </row>
    <row r="2309" spans="1:1">
      <c r="A2309" s="151" t="s">
        <v>4277</v>
      </c>
    </row>
    <row r="2310" spans="1:1">
      <c r="A2310" s="151" t="s">
        <v>4278</v>
      </c>
    </row>
    <row r="2311" spans="1:1">
      <c r="A2311" s="151" t="s">
        <v>4279</v>
      </c>
    </row>
    <row r="2312" spans="1:1">
      <c r="A2312" s="151" t="s">
        <v>4280</v>
      </c>
    </row>
    <row r="2313" spans="1:1">
      <c r="A2313" s="151" t="s">
        <v>4281</v>
      </c>
    </row>
    <row r="2314" spans="1:1">
      <c r="A2314" s="151" t="s">
        <v>4282</v>
      </c>
    </row>
    <row r="2315" spans="1:1">
      <c r="A2315" s="151" t="s">
        <v>4283</v>
      </c>
    </row>
    <row r="2316" spans="1:1">
      <c r="A2316" s="151" t="s">
        <v>4284</v>
      </c>
    </row>
    <row r="2317" spans="1:1">
      <c r="A2317" s="151" t="s">
        <v>4285</v>
      </c>
    </row>
    <row r="2318" spans="1:1">
      <c r="A2318" s="151" t="s">
        <v>4286</v>
      </c>
    </row>
    <row r="2319" spans="1:1">
      <c r="A2319" s="151" t="s">
        <v>4287</v>
      </c>
    </row>
    <row r="2320" spans="1:1">
      <c r="A2320" s="151" t="s">
        <v>4288</v>
      </c>
    </row>
    <row r="2321" spans="1:1">
      <c r="A2321" s="151" t="s">
        <v>4289</v>
      </c>
    </row>
    <row r="2322" spans="1:1">
      <c r="A2322" s="151" t="s">
        <v>4290</v>
      </c>
    </row>
    <row r="2323" spans="1:1">
      <c r="A2323" s="151" t="s">
        <v>4291</v>
      </c>
    </row>
    <row r="2324" spans="1:1">
      <c r="A2324" s="151" t="s">
        <v>4292</v>
      </c>
    </row>
    <row r="2325" spans="1:1">
      <c r="A2325" s="151" t="s">
        <v>4293</v>
      </c>
    </row>
    <row r="2326" spans="1:1">
      <c r="A2326" s="151" t="s">
        <v>4294</v>
      </c>
    </row>
    <row r="2327" spans="1:1">
      <c r="A2327" s="151" t="s">
        <v>4295</v>
      </c>
    </row>
    <row r="2328" spans="1:1">
      <c r="A2328" s="151" t="s">
        <v>4296</v>
      </c>
    </row>
    <row r="2329" spans="1:1">
      <c r="A2329" s="151" t="s">
        <v>4297</v>
      </c>
    </row>
    <row r="2330" spans="1:1">
      <c r="A2330" s="151" t="s">
        <v>4298</v>
      </c>
    </row>
    <row r="2331" spans="1:1">
      <c r="A2331" s="151" t="s">
        <v>4299</v>
      </c>
    </row>
    <row r="2332" spans="1:1">
      <c r="A2332" s="151" t="s">
        <v>4300</v>
      </c>
    </row>
    <row r="2333" spans="1:1">
      <c r="A2333" s="151" t="s">
        <v>4301</v>
      </c>
    </row>
    <row r="2334" spans="1:1">
      <c r="A2334" s="151" t="s">
        <v>4302</v>
      </c>
    </row>
    <row r="2335" spans="1:1">
      <c r="A2335" s="151" t="s">
        <v>4303</v>
      </c>
    </row>
    <row r="2336" spans="1:1">
      <c r="A2336" s="151" t="s">
        <v>4304</v>
      </c>
    </row>
    <row r="2337" spans="1:1">
      <c r="A2337" s="151" t="s">
        <v>4305</v>
      </c>
    </row>
    <row r="2338" spans="1:1">
      <c r="A2338" s="151" t="s">
        <v>4306</v>
      </c>
    </row>
    <row r="2339" spans="1:1">
      <c r="A2339" s="151" t="s">
        <v>4307</v>
      </c>
    </row>
    <row r="2340" spans="1:1">
      <c r="A2340" s="151" t="s">
        <v>4308</v>
      </c>
    </row>
    <row r="2341" spans="1:1">
      <c r="A2341" s="151" t="s">
        <v>4309</v>
      </c>
    </row>
    <row r="2342" spans="1:1">
      <c r="A2342" s="151" t="s">
        <v>4310</v>
      </c>
    </row>
    <row r="2343" spans="1:1">
      <c r="A2343" s="151" t="s">
        <v>4311</v>
      </c>
    </row>
    <row r="2344" spans="1:1">
      <c r="A2344" s="151" t="s">
        <v>4312</v>
      </c>
    </row>
    <row r="2345" spans="1:1">
      <c r="A2345" s="151" t="s">
        <v>4313</v>
      </c>
    </row>
    <row r="2346" spans="1:1">
      <c r="A2346" s="151" t="s">
        <v>4314</v>
      </c>
    </row>
    <row r="2347" spans="1:1">
      <c r="A2347" s="151" t="s">
        <v>4315</v>
      </c>
    </row>
    <row r="2348" spans="1:1">
      <c r="A2348" s="151" t="s">
        <v>4316</v>
      </c>
    </row>
    <row r="2349" spans="1:1">
      <c r="A2349" s="151" t="s">
        <v>4317</v>
      </c>
    </row>
    <row r="2350" spans="1:1">
      <c r="A2350" s="151" t="s">
        <v>4318</v>
      </c>
    </row>
    <row r="2351" spans="1:1">
      <c r="A2351" s="151" t="s">
        <v>4319</v>
      </c>
    </row>
    <row r="2352" spans="1:1">
      <c r="A2352" s="151" t="s">
        <v>4320</v>
      </c>
    </row>
    <row r="2353" spans="1:1">
      <c r="A2353" s="151" t="s">
        <v>4321</v>
      </c>
    </row>
    <row r="2354" spans="1:1">
      <c r="A2354" s="151" t="s">
        <v>4322</v>
      </c>
    </row>
    <row r="2355" spans="1:1">
      <c r="A2355" s="151" t="s">
        <v>4323</v>
      </c>
    </row>
    <row r="2356" spans="1:1">
      <c r="A2356" s="151" t="s">
        <v>4324</v>
      </c>
    </row>
    <row r="2357" spans="1:1">
      <c r="A2357" s="151" t="s">
        <v>4325</v>
      </c>
    </row>
    <row r="2358" spans="1:1">
      <c r="A2358" s="151" t="s">
        <v>4326</v>
      </c>
    </row>
    <row r="2359" spans="1:1">
      <c r="A2359" s="151" t="s">
        <v>4327</v>
      </c>
    </row>
    <row r="2360" spans="1:1">
      <c r="A2360" s="151" t="s">
        <v>4328</v>
      </c>
    </row>
    <row r="2361" spans="1:1">
      <c r="A2361" s="151" t="s">
        <v>4329</v>
      </c>
    </row>
    <row r="2362" spans="1:1">
      <c r="A2362" s="151" t="s">
        <v>4330</v>
      </c>
    </row>
    <row r="2363" spans="1:1">
      <c r="A2363" s="151" t="s">
        <v>4331</v>
      </c>
    </row>
    <row r="2364" spans="1:1">
      <c r="A2364" s="151" t="s">
        <v>4332</v>
      </c>
    </row>
    <row r="2365" spans="1:1">
      <c r="A2365" s="151" t="s">
        <v>4333</v>
      </c>
    </row>
    <row r="2366" spans="1:1">
      <c r="A2366" s="151" t="s">
        <v>4334</v>
      </c>
    </row>
    <row r="2367" spans="1:1">
      <c r="A2367" s="151" t="s">
        <v>4335</v>
      </c>
    </row>
    <row r="2368" spans="1:1">
      <c r="A2368" s="151" t="s">
        <v>4336</v>
      </c>
    </row>
    <row r="2369" spans="1:1">
      <c r="A2369" s="151" t="s">
        <v>4337</v>
      </c>
    </row>
    <row r="2370" spans="1:1">
      <c r="A2370" s="151" t="s">
        <v>4338</v>
      </c>
    </row>
    <row r="2371" spans="1:1">
      <c r="A2371" s="151" t="s">
        <v>4339</v>
      </c>
    </row>
    <row r="2372" spans="1:1">
      <c r="A2372" s="151" t="s">
        <v>4340</v>
      </c>
    </row>
    <row r="2373" spans="1:1">
      <c r="A2373" s="151" t="s">
        <v>4341</v>
      </c>
    </row>
    <row r="2374" spans="1:1">
      <c r="A2374" s="151" t="s">
        <v>4342</v>
      </c>
    </row>
    <row r="2375" spans="1:1">
      <c r="A2375" s="151" t="s">
        <v>4343</v>
      </c>
    </row>
    <row r="2376" spans="1:1">
      <c r="A2376" s="151" t="s">
        <v>4344</v>
      </c>
    </row>
    <row r="2377" spans="1:1">
      <c r="A2377" s="151" t="s">
        <v>4345</v>
      </c>
    </row>
    <row r="2378" spans="1:1">
      <c r="A2378" s="151" t="s">
        <v>4346</v>
      </c>
    </row>
    <row r="2379" spans="1:1">
      <c r="A2379" s="151" t="s">
        <v>4347</v>
      </c>
    </row>
    <row r="2380" spans="1:1">
      <c r="A2380" s="151" t="s">
        <v>4348</v>
      </c>
    </row>
    <row r="2381" spans="1:1">
      <c r="A2381" s="151" t="s">
        <v>4349</v>
      </c>
    </row>
    <row r="2382" spans="1:1">
      <c r="A2382" s="151" t="s">
        <v>4350</v>
      </c>
    </row>
    <row r="2383" spans="1:1">
      <c r="A2383" s="151" t="s">
        <v>4351</v>
      </c>
    </row>
    <row r="2384" spans="1:1">
      <c r="A2384" s="151" t="s">
        <v>4352</v>
      </c>
    </row>
    <row r="2385" spans="1:1">
      <c r="A2385" s="151" t="s">
        <v>4353</v>
      </c>
    </row>
    <row r="2386" spans="1:1">
      <c r="A2386" s="151" t="s">
        <v>4354</v>
      </c>
    </row>
    <row r="2387" spans="1:1">
      <c r="A2387" s="151" t="s">
        <v>4355</v>
      </c>
    </row>
    <row r="2388" spans="1:1">
      <c r="A2388" s="151" t="s">
        <v>4356</v>
      </c>
    </row>
    <row r="2389" spans="1:1">
      <c r="A2389" s="151" t="s">
        <v>4357</v>
      </c>
    </row>
    <row r="2390" spans="1:1">
      <c r="A2390" s="151" t="s">
        <v>4358</v>
      </c>
    </row>
    <row r="2391" spans="1:1">
      <c r="A2391" s="151" t="s">
        <v>4359</v>
      </c>
    </row>
    <row r="2392" spans="1:1">
      <c r="A2392" s="151" t="s">
        <v>4360</v>
      </c>
    </row>
    <row r="2393" spans="1:1">
      <c r="A2393" s="151" t="s">
        <v>4361</v>
      </c>
    </row>
    <row r="2394" spans="1:1">
      <c r="A2394" s="151" t="s">
        <v>4362</v>
      </c>
    </row>
    <row r="2395" spans="1:1">
      <c r="A2395" s="151" t="s">
        <v>4363</v>
      </c>
    </row>
    <row r="2396" spans="1:1">
      <c r="A2396" s="151" t="s">
        <v>4364</v>
      </c>
    </row>
    <row r="2397" spans="1:1">
      <c r="A2397" s="151" t="s">
        <v>4365</v>
      </c>
    </row>
    <row r="2398" spans="1:1">
      <c r="A2398" s="151" t="s">
        <v>4366</v>
      </c>
    </row>
    <row r="2399" spans="1:1">
      <c r="A2399" s="151" t="s">
        <v>4367</v>
      </c>
    </row>
    <row r="2400" spans="1:1">
      <c r="A2400" s="151" t="s">
        <v>4368</v>
      </c>
    </row>
    <row r="2401" spans="1:1">
      <c r="A2401" s="151" t="s">
        <v>4369</v>
      </c>
    </row>
    <row r="2402" spans="1:1">
      <c r="A2402" s="151" t="s">
        <v>4370</v>
      </c>
    </row>
    <row r="2403" spans="1:1">
      <c r="A2403" s="151" t="s">
        <v>4371</v>
      </c>
    </row>
    <row r="2404" spans="1:1">
      <c r="A2404" s="151" t="s">
        <v>4372</v>
      </c>
    </row>
    <row r="2405" spans="1:1">
      <c r="A2405" s="151" t="s">
        <v>4373</v>
      </c>
    </row>
    <row r="2406" spans="1:1">
      <c r="A2406" s="151" t="s">
        <v>4374</v>
      </c>
    </row>
    <row r="2407" spans="1:1">
      <c r="A2407" s="151" t="s">
        <v>4375</v>
      </c>
    </row>
    <row r="2408" spans="1:1">
      <c r="A2408" s="151" t="s">
        <v>4376</v>
      </c>
    </row>
    <row r="2409" spans="1:1">
      <c r="A2409" s="151" t="s">
        <v>4377</v>
      </c>
    </row>
    <row r="2410" spans="1:1">
      <c r="A2410" s="151" t="s">
        <v>4378</v>
      </c>
    </row>
    <row r="2411" spans="1:1">
      <c r="A2411" s="151" t="s">
        <v>4379</v>
      </c>
    </row>
    <row r="2412" spans="1:1">
      <c r="A2412" s="151" t="s">
        <v>4380</v>
      </c>
    </row>
    <row r="2413" spans="1:1">
      <c r="A2413" s="151" t="s">
        <v>4381</v>
      </c>
    </row>
    <row r="2414" spans="1:1">
      <c r="A2414" s="151" t="s">
        <v>4382</v>
      </c>
    </row>
    <row r="2415" spans="1:1">
      <c r="A2415" s="151" t="s">
        <v>4383</v>
      </c>
    </row>
    <row r="2416" spans="1:1">
      <c r="A2416" s="151" t="s">
        <v>4384</v>
      </c>
    </row>
    <row r="2417" spans="1:1">
      <c r="A2417" s="151" t="s">
        <v>4385</v>
      </c>
    </row>
    <row r="2418" spans="1:1">
      <c r="A2418" s="151" t="s">
        <v>4386</v>
      </c>
    </row>
    <row r="2419" spans="1:1">
      <c r="A2419" s="151" t="s">
        <v>4387</v>
      </c>
    </row>
    <row r="2420" spans="1:1">
      <c r="A2420" s="151" t="s">
        <v>4388</v>
      </c>
    </row>
    <row r="2421" spans="1:1">
      <c r="A2421" s="151" t="s">
        <v>4389</v>
      </c>
    </row>
    <row r="2422" spans="1:1">
      <c r="A2422" s="151" t="s">
        <v>4390</v>
      </c>
    </row>
    <row r="2423" spans="1:1">
      <c r="A2423" s="151" t="s">
        <v>4391</v>
      </c>
    </row>
    <row r="2424" spans="1:1">
      <c r="A2424" s="151" t="s">
        <v>4392</v>
      </c>
    </row>
    <row r="2425" spans="1:1">
      <c r="A2425" s="151" t="s">
        <v>4393</v>
      </c>
    </row>
    <row r="2426" spans="1:1">
      <c r="A2426" s="151" t="s">
        <v>4394</v>
      </c>
    </row>
    <row r="2427" spans="1:1">
      <c r="A2427" s="151" t="s">
        <v>4395</v>
      </c>
    </row>
    <row r="2428" spans="1:1">
      <c r="A2428" s="151" t="s">
        <v>4396</v>
      </c>
    </row>
    <row r="2429" spans="1:1">
      <c r="A2429" s="151" t="s">
        <v>4397</v>
      </c>
    </row>
    <row r="2430" spans="1:1">
      <c r="A2430" s="151" t="s">
        <v>4398</v>
      </c>
    </row>
    <row r="2431" spans="1:1">
      <c r="A2431" s="151" t="s">
        <v>4399</v>
      </c>
    </row>
    <row r="2432" spans="1:1">
      <c r="A2432" s="151" t="s">
        <v>4400</v>
      </c>
    </row>
    <row r="2433" spans="1:1">
      <c r="A2433" s="151" t="s">
        <v>4401</v>
      </c>
    </row>
    <row r="2434" spans="1:1">
      <c r="A2434" s="151" t="s">
        <v>4402</v>
      </c>
    </row>
    <row r="2435" spans="1:1">
      <c r="A2435" s="151" t="s">
        <v>4403</v>
      </c>
    </row>
    <row r="2436" spans="1:1">
      <c r="A2436" s="151" t="s">
        <v>4404</v>
      </c>
    </row>
    <row r="2437" spans="1:1">
      <c r="A2437" s="151" t="s">
        <v>4405</v>
      </c>
    </row>
    <row r="2438" spans="1:1">
      <c r="A2438" s="151" t="s">
        <v>4406</v>
      </c>
    </row>
    <row r="2439" spans="1:1">
      <c r="A2439" s="151" t="s">
        <v>4407</v>
      </c>
    </row>
    <row r="2440" spans="1:1">
      <c r="A2440" s="151" t="s">
        <v>4408</v>
      </c>
    </row>
    <row r="2441" spans="1:1">
      <c r="A2441" s="151" t="s">
        <v>4409</v>
      </c>
    </row>
    <row r="2442" spans="1:1">
      <c r="A2442" s="151" t="s">
        <v>4410</v>
      </c>
    </row>
    <row r="2443" spans="1:1">
      <c r="A2443" s="151" t="s">
        <v>4411</v>
      </c>
    </row>
    <row r="2444" spans="1:1">
      <c r="A2444" s="151" t="s">
        <v>4412</v>
      </c>
    </row>
    <row r="2445" spans="1:1">
      <c r="A2445" s="151" t="s">
        <v>4413</v>
      </c>
    </row>
    <row r="2446" spans="1:1">
      <c r="A2446" s="151" t="s">
        <v>4414</v>
      </c>
    </row>
    <row r="2447" spans="1:1">
      <c r="A2447" s="151" t="s">
        <v>4415</v>
      </c>
    </row>
    <row r="2448" spans="1:1">
      <c r="A2448" s="151" t="s">
        <v>4416</v>
      </c>
    </row>
    <row r="2449" spans="1:1">
      <c r="A2449" s="151" t="s">
        <v>4417</v>
      </c>
    </row>
    <row r="2450" spans="1:1">
      <c r="A2450" s="151" t="s">
        <v>4418</v>
      </c>
    </row>
    <row r="2451" spans="1:1">
      <c r="A2451" s="151" t="s">
        <v>4419</v>
      </c>
    </row>
    <row r="2452" spans="1:1">
      <c r="A2452" s="151" t="s">
        <v>4420</v>
      </c>
    </row>
    <row r="2453" spans="1:1">
      <c r="A2453" s="151" t="s">
        <v>4421</v>
      </c>
    </row>
    <row r="2454" spans="1:1">
      <c r="A2454" s="151" t="s">
        <v>4422</v>
      </c>
    </row>
    <row r="2455" spans="1:1">
      <c r="A2455" s="151" t="s">
        <v>4423</v>
      </c>
    </row>
    <row r="2456" spans="1:1">
      <c r="A2456" s="151" t="s">
        <v>4424</v>
      </c>
    </row>
    <row r="2457" spans="1:1">
      <c r="A2457" s="151" t="s">
        <v>4425</v>
      </c>
    </row>
    <row r="2458" spans="1:1">
      <c r="A2458" s="151" t="s">
        <v>4426</v>
      </c>
    </row>
    <row r="2459" spans="1:1">
      <c r="A2459" s="151" t="s">
        <v>4427</v>
      </c>
    </row>
    <row r="2460" spans="1:1">
      <c r="A2460" s="151" t="s">
        <v>4428</v>
      </c>
    </row>
    <row r="2461" spans="1:1">
      <c r="A2461" s="151" t="s">
        <v>4429</v>
      </c>
    </row>
    <row r="2462" spans="1:1">
      <c r="A2462" s="151" t="s">
        <v>4430</v>
      </c>
    </row>
    <row r="2463" spans="1:1">
      <c r="A2463" s="151" t="s">
        <v>4431</v>
      </c>
    </row>
    <row r="2464" spans="1:1">
      <c r="A2464" s="151" t="s">
        <v>4432</v>
      </c>
    </row>
    <row r="2465" spans="1:1">
      <c r="A2465" s="151" t="s">
        <v>4433</v>
      </c>
    </row>
    <row r="2466" spans="1:1">
      <c r="A2466" s="151" t="s">
        <v>4434</v>
      </c>
    </row>
    <row r="2467" spans="1:1">
      <c r="A2467" s="151" t="s">
        <v>4435</v>
      </c>
    </row>
    <row r="2468" spans="1:1">
      <c r="A2468" s="151" t="s">
        <v>4436</v>
      </c>
    </row>
    <row r="2469" spans="1:1">
      <c r="A2469" s="151" t="s">
        <v>4437</v>
      </c>
    </row>
    <row r="2470" spans="1:1">
      <c r="A2470" s="151" t="s">
        <v>4438</v>
      </c>
    </row>
    <row r="2471" spans="1:1">
      <c r="A2471" s="151" t="s">
        <v>4439</v>
      </c>
    </row>
    <row r="2472" spans="1:1">
      <c r="A2472" s="151" t="s">
        <v>4440</v>
      </c>
    </row>
    <row r="2473" spans="1:1">
      <c r="A2473" s="151" t="s">
        <v>4441</v>
      </c>
    </row>
    <row r="2474" spans="1:1">
      <c r="A2474" s="151" t="s">
        <v>4442</v>
      </c>
    </row>
    <row r="2475" spans="1:1">
      <c r="A2475" s="151" t="s">
        <v>4443</v>
      </c>
    </row>
    <row r="2476" spans="1:1">
      <c r="A2476" s="151" t="s">
        <v>4444</v>
      </c>
    </row>
    <row r="2477" spans="1:1">
      <c r="A2477" s="151" t="s">
        <v>4445</v>
      </c>
    </row>
    <row r="2478" spans="1:1">
      <c r="A2478" s="151" t="s">
        <v>4446</v>
      </c>
    </row>
    <row r="2479" spans="1:1">
      <c r="A2479" s="151" t="s">
        <v>4447</v>
      </c>
    </row>
    <row r="2480" spans="1:1">
      <c r="A2480" s="151" t="s">
        <v>4448</v>
      </c>
    </row>
    <row r="2481" spans="1:1">
      <c r="A2481" s="151" t="s">
        <v>4449</v>
      </c>
    </row>
    <row r="2482" spans="1:1">
      <c r="A2482" s="151" t="s">
        <v>4450</v>
      </c>
    </row>
    <row r="2483" spans="1:1">
      <c r="A2483" s="151" t="s">
        <v>4451</v>
      </c>
    </row>
    <row r="2484" spans="1:1">
      <c r="A2484" s="151" t="s">
        <v>4452</v>
      </c>
    </row>
    <row r="2485" spans="1:1">
      <c r="A2485" s="151" t="s">
        <v>4453</v>
      </c>
    </row>
    <row r="2486" spans="1:1">
      <c r="A2486" s="151" t="s">
        <v>4454</v>
      </c>
    </row>
    <row r="2487" spans="1:1">
      <c r="A2487" s="151" t="s">
        <v>4455</v>
      </c>
    </row>
    <row r="2488" spans="1:1">
      <c r="A2488" s="151" t="s">
        <v>4456</v>
      </c>
    </row>
    <row r="2489" spans="1:1">
      <c r="A2489" s="151" t="s">
        <v>4457</v>
      </c>
    </row>
    <row r="2490" spans="1:1">
      <c r="A2490" s="151" t="s">
        <v>4458</v>
      </c>
    </row>
    <row r="2491" spans="1:1">
      <c r="A2491" s="151" t="s">
        <v>4459</v>
      </c>
    </row>
    <row r="2492" spans="1:1">
      <c r="A2492" s="151" t="s">
        <v>4460</v>
      </c>
    </row>
    <row r="2493" spans="1:1">
      <c r="A2493" s="151" t="s">
        <v>4461</v>
      </c>
    </row>
    <row r="2494" spans="1:1">
      <c r="A2494" s="151" t="s">
        <v>4462</v>
      </c>
    </row>
    <row r="2495" spans="1:1">
      <c r="A2495" s="151" t="s">
        <v>4463</v>
      </c>
    </row>
    <row r="2496" spans="1:1">
      <c r="A2496" s="151" t="s">
        <v>4464</v>
      </c>
    </row>
    <row r="2497" spans="1:1">
      <c r="A2497" s="151" t="s">
        <v>4465</v>
      </c>
    </row>
    <row r="2498" spans="1:1">
      <c r="A2498" s="151" t="s">
        <v>4466</v>
      </c>
    </row>
    <row r="2499" spans="1:1">
      <c r="A2499" s="151" t="s">
        <v>4467</v>
      </c>
    </row>
    <row r="2500" spans="1:1">
      <c r="A2500" s="151" t="s">
        <v>4468</v>
      </c>
    </row>
    <row r="2501" spans="1:1">
      <c r="A2501" s="151" t="s">
        <v>4469</v>
      </c>
    </row>
    <row r="2502" spans="1:1">
      <c r="A2502" s="151" t="s">
        <v>4470</v>
      </c>
    </row>
    <row r="2503" spans="1:1">
      <c r="A2503" s="151" t="s">
        <v>4471</v>
      </c>
    </row>
    <row r="2504" spans="1:1">
      <c r="A2504" s="151" t="s">
        <v>4472</v>
      </c>
    </row>
    <row r="2505" spans="1:1">
      <c r="A2505" s="151" t="s">
        <v>4473</v>
      </c>
    </row>
    <row r="2506" spans="1:1">
      <c r="A2506" s="151" t="s">
        <v>4474</v>
      </c>
    </row>
    <row r="2507" spans="1:1">
      <c r="A2507" s="151" t="s">
        <v>4475</v>
      </c>
    </row>
    <row r="2508" spans="1:1">
      <c r="A2508" s="151" t="s">
        <v>4476</v>
      </c>
    </row>
    <row r="2509" spans="1:1">
      <c r="A2509" s="151" t="s">
        <v>4477</v>
      </c>
    </row>
    <row r="2510" spans="1:1">
      <c r="A2510" s="151" t="s">
        <v>4478</v>
      </c>
    </row>
    <row r="2511" spans="1:1">
      <c r="A2511" s="151" t="s">
        <v>4479</v>
      </c>
    </row>
    <row r="2512" spans="1:1">
      <c r="A2512" s="151" t="s">
        <v>4480</v>
      </c>
    </row>
    <row r="2513" spans="1:1">
      <c r="A2513" s="151" t="s">
        <v>4481</v>
      </c>
    </row>
    <row r="2514" spans="1:1">
      <c r="A2514" s="151" t="s">
        <v>4482</v>
      </c>
    </row>
    <row r="2515" spans="1:1">
      <c r="A2515" s="151" t="s">
        <v>4483</v>
      </c>
    </row>
    <row r="2516" spans="1:1">
      <c r="A2516" s="151" t="s">
        <v>4484</v>
      </c>
    </row>
    <row r="2517" spans="1:1">
      <c r="A2517" s="151" t="s">
        <v>4485</v>
      </c>
    </row>
    <row r="2518" spans="1:1">
      <c r="A2518" s="151" t="s">
        <v>4486</v>
      </c>
    </row>
    <row r="2519" spans="1:1">
      <c r="A2519" s="151" t="s">
        <v>4487</v>
      </c>
    </row>
    <row r="2520" spans="1:1">
      <c r="A2520" s="151" t="s">
        <v>4488</v>
      </c>
    </row>
    <row r="2521" spans="1:1">
      <c r="A2521" s="151" t="s">
        <v>4489</v>
      </c>
    </row>
    <row r="2522" spans="1:1">
      <c r="A2522" s="151" t="s">
        <v>4490</v>
      </c>
    </row>
    <row r="2523" spans="1:1">
      <c r="A2523" s="151" t="s">
        <v>4491</v>
      </c>
    </row>
    <row r="2524" spans="1:1">
      <c r="A2524" s="151" t="s">
        <v>4492</v>
      </c>
    </row>
    <row r="2525" spans="1:1">
      <c r="A2525" s="151" t="s">
        <v>4493</v>
      </c>
    </row>
    <row r="2526" spans="1:1">
      <c r="A2526" s="151" t="s">
        <v>4494</v>
      </c>
    </row>
    <row r="2527" spans="1:1">
      <c r="A2527" s="151" t="s">
        <v>4495</v>
      </c>
    </row>
    <row r="2528" spans="1:1">
      <c r="A2528" s="151" t="s">
        <v>4496</v>
      </c>
    </row>
    <row r="2529" spans="1:1">
      <c r="A2529" s="151" t="s">
        <v>4497</v>
      </c>
    </row>
    <row r="2530" spans="1:1">
      <c r="A2530" s="151" t="s">
        <v>4498</v>
      </c>
    </row>
    <row r="2531" spans="1:1">
      <c r="A2531" s="151" t="s">
        <v>4499</v>
      </c>
    </row>
    <row r="2532" spans="1:1">
      <c r="A2532" s="151" t="s">
        <v>4500</v>
      </c>
    </row>
    <row r="2533" spans="1:1">
      <c r="A2533" s="151" t="s">
        <v>4501</v>
      </c>
    </row>
    <row r="2534" spans="1:1">
      <c r="A2534" s="151" t="s">
        <v>4502</v>
      </c>
    </row>
    <row r="2535" spans="1:1">
      <c r="A2535" s="151" t="s">
        <v>4503</v>
      </c>
    </row>
    <row r="2536" spans="1:1">
      <c r="A2536" s="151" t="s">
        <v>4504</v>
      </c>
    </row>
    <row r="2537" spans="1:1">
      <c r="A2537" s="151" t="s">
        <v>4505</v>
      </c>
    </row>
    <row r="2538" spans="1:1">
      <c r="A2538" s="151" t="s">
        <v>4506</v>
      </c>
    </row>
    <row r="2539" spans="1:1">
      <c r="A2539" s="151" t="s">
        <v>4507</v>
      </c>
    </row>
    <row r="2540" spans="1:1">
      <c r="A2540" s="151" t="s">
        <v>4508</v>
      </c>
    </row>
    <row r="2541" spans="1:1">
      <c r="A2541" s="151" t="s">
        <v>4509</v>
      </c>
    </row>
    <row r="2542" spans="1:1">
      <c r="A2542" s="151" t="s">
        <v>4510</v>
      </c>
    </row>
    <row r="2543" spans="1:1">
      <c r="A2543" s="151" t="s">
        <v>4511</v>
      </c>
    </row>
    <row r="2544" spans="1:1">
      <c r="A2544" s="151" t="s">
        <v>4512</v>
      </c>
    </row>
    <row r="2545" spans="1:1">
      <c r="A2545" s="151" t="s">
        <v>4513</v>
      </c>
    </row>
    <row r="2546" spans="1:1">
      <c r="A2546" s="151" t="s">
        <v>4514</v>
      </c>
    </row>
    <row r="2547" spans="1:1">
      <c r="A2547" s="151" t="s">
        <v>4515</v>
      </c>
    </row>
    <row r="2548" spans="1:1">
      <c r="A2548" s="151" t="s">
        <v>4516</v>
      </c>
    </row>
    <row r="2549" spans="1:1">
      <c r="A2549" s="151" t="s">
        <v>4517</v>
      </c>
    </row>
    <row r="2550" spans="1:1">
      <c r="A2550" s="151" t="s">
        <v>4518</v>
      </c>
    </row>
    <row r="2551" spans="1:1">
      <c r="A2551" s="151" t="s">
        <v>4519</v>
      </c>
    </row>
    <row r="2552" spans="1:1">
      <c r="A2552" s="151" t="s">
        <v>4520</v>
      </c>
    </row>
    <row r="2553" spans="1:1">
      <c r="A2553" s="151" t="s">
        <v>4521</v>
      </c>
    </row>
    <row r="2554" spans="1:1">
      <c r="A2554" s="151" t="s">
        <v>4522</v>
      </c>
    </row>
    <row r="2555" spans="1:1">
      <c r="A2555" s="151" t="s">
        <v>4523</v>
      </c>
    </row>
    <row r="2556" spans="1:1">
      <c r="A2556" s="151" t="s">
        <v>4524</v>
      </c>
    </row>
    <row r="2557" spans="1:1">
      <c r="A2557" s="151" t="s">
        <v>4525</v>
      </c>
    </row>
    <row r="2558" spans="1:1">
      <c r="A2558" s="151" t="s">
        <v>4526</v>
      </c>
    </row>
    <row r="2559" spans="1:1">
      <c r="A2559" s="151" t="s">
        <v>4527</v>
      </c>
    </row>
    <row r="2560" spans="1:1">
      <c r="A2560" s="151" t="s">
        <v>4528</v>
      </c>
    </row>
    <row r="2561" spans="1:1">
      <c r="A2561" s="151" t="s">
        <v>4529</v>
      </c>
    </row>
    <row r="2562" spans="1:1">
      <c r="A2562" s="151" t="s">
        <v>4530</v>
      </c>
    </row>
    <row r="2563" spans="1:1">
      <c r="A2563" s="151" t="s">
        <v>4531</v>
      </c>
    </row>
    <row r="2564" spans="1:1">
      <c r="A2564" s="151" t="s">
        <v>4532</v>
      </c>
    </row>
    <row r="2565" spans="1:1">
      <c r="A2565" s="151" t="s">
        <v>4533</v>
      </c>
    </row>
    <row r="2566" spans="1:1">
      <c r="A2566" s="151" t="s">
        <v>4534</v>
      </c>
    </row>
    <row r="2567" spans="1:1">
      <c r="A2567" s="151" t="s">
        <v>4535</v>
      </c>
    </row>
    <row r="2568" spans="1:1">
      <c r="A2568" s="151" t="s">
        <v>4536</v>
      </c>
    </row>
    <row r="2569" spans="1:1">
      <c r="A2569" s="151" t="s">
        <v>4537</v>
      </c>
    </row>
    <row r="2570" spans="1:1">
      <c r="A2570" s="151" t="s">
        <v>4538</v>
      </c>
    </row>
    <row r="2571" spans="1:1">
      <c r="A2571" s="151" t="s">
        <v>4539</v>
      </c>
    </row>
    <row r="2572" spans="1:1">
      <c r="A2572" s="151" t="s">
        <v>4540</v>
      </c>
    </row>
    <row r="2573" spans="1:1">
      <c r="A2573" s="151" t="s">
        <v>4541</v>
      </c>
    </row>
    <row r="2574" spans="1:1">
      <c r="A2574" s="151" t="s">
        <v>4542</v>
      </c>
    </row>
    <row r="2575" spans="1:1">
      <c r="A2575" s="151" t="s">
        <v>4543</v>
      </c>
    </row>
    <row r="2576" spans="1:1">
      <c r="A2576" s="151" t="s">
        <v>4544</v>
      </c>
    </row>
    <row r="2577" spans="1:1">
      <c r="A2577" s="151" t="s">
        <v>4545</v>
      </c>
    </row>
    <row r="2578" spans="1:1">
      <c r="A2578" s="151" t="s">
        <v>4546</v>
      </c>
    </row>
    <row r="2579" spans="1:1">
      <c r="A2579" s="151" t="s">
        <v>4547</v>
      </c>
    </row>
    <row r="2580" spans="1:1">
      <c r="A2580" s="151" t="s">
        <v>4548</v>
      </c>
    </row>
    <row r="2581" spans="1:1">
      <c r="A2581" s="151" t="s">
        <v>4549</v>
      </c>
    </row>
    <row r="2582" spans="1:1">
      <c r="A2582" s="151" t="s">
        <v>4550</v>
      </c>
    </row>
    <row r="2583" spans="1:1">
      <c r="A2583" s="151" t="s">
        <v>4551</v>
      </c>
    </row>
    <row r="2584" spans="1:1">
      <c r="A2584" s="151" t="s">
        <v>4552</v>
      </c>
    </row>
    <row r="2585" spans="1:1">
      <c r="A2585" s="151" t="s">
        <v>4553</v>
      </c>
    </row>
    <row r="2586" spans="1:1">
      <c r="A2586" s="151" t="s">
        <v>4554</v>
      </c>
    </row>
    <row r="2587" spans="1:1">
      <c r="A2587" s="151" t="s">
        <v>4555</v>
      </c>
    </row>
    <row r="2588" spans="1:1">
      <c r="A2588" s="151" t="s">
        <v>4556</v>
      </c>
    </row>
    <row r="2589" spans="1:1">
      <c r="A2589" s="151" t="s">
        <v>4557</v>
      </c>
    </row>
    <row r="2590" spans="1:1">
      <c r="A2590" s="151" t="s">
        <v>4558</v>
      </c>
    </row>
    <row r="2591" spans="1:1">
      <c r="A2591" s="151" t="s">
        <v>4559</v>
      </c>
    </row>
    <row r="2592" spans="1:1">
      <c r="A2592" s="151" t="s">
        <v>4560</v>
      </c>
    </row>
    <row r="2593" spans="1:1">
      <c r="A2593" s="151" t="s">
        <v>4561</v>
      </c>
    </row>
    <row r="2594" spans="1:1">
      <c r="A2594" s="151" t="s">
        <v>4562</v>
      </c>
    </row>
    <row r="2595" spans="1:1">
      <c r="A2595" s="151" t="s">
        <v>4563</v>
      </c>
    </row>
    <row r="2596" spans="1:1">
      <c r="A2596" s="151" t="s">
        <v>4564</v>
      </c>
    </row>
    <row r="2597" spans="1:1">
      <c r="A2597" s="151" t="s">
        <v>4565</v>
      </c>
    </row>
    <row r="2598" spans="1:1">
      <c r="A2598" s="151" t="s">
        <v>4566</v>
      </c>
    </row>
    <row r="2599" spans="1:1">
      <c r="A2599" s="151" t="s">
        <v>4567</v>
      </c>
    </row>
    <row r="2600" spans="1:1">
      <c r="A2600" s="151" t="s">
        <v>4568</v>
      </c>
    </row>
    <row r="2601" spans="1:1">
      <c r="A2601" s="151" t="s">
        <v>4569</v>
      </c>
    </row>
    <row r="2602" spans="1:1">
      <c r="A2602" s="151" t="s">
        <v>4570</v>
      </c>
    </row>
    <row r="2603" spans="1:1">
      <c r="A2603" s="151" t="s">
        <v>4571</v>
      </c>
    </row>
    <row r="2604" spans="1:1">
      <c r="A2604" s="151" t="s">
        <v>4572</v>
      </c>
    </row>
    <row r="2605" spans="1:1">
      <c r="A2605" s="151" t="s">
        <v>4573</v>
      </c>
    </row>
    <row r="2606" spans="1:1">
      <c r="A2606" s="151" t="s">
        <v>4574</v>
      </c>
    </row>
    <row r="2607" spans="1:1">
      <c r="A2607" s="151" t="s">
        <v>4575</v>
      </c>
    </row>
    <row r="2608" spans="1:1">
      <c r="A2608" s="151" t="s">
        <v>4576</v>
      </c>
    </row>
    <row r="2609" spans="1:1">
      <c r="A2609" s="151" t="s">
        <v>4577</v>
      </c>
    </row>
    <row r="2610" spans="1:1">
      <c r="A2610" s="151" t="s">
        <v>4578</v>
      </c>
    </row>
    <row r="2611" spans="1:1">
      <c r="A2611" s="151" t="s">
        <v>4579</v>
      </c>
    </row>
    <row r="2612" spans="1:1">
      <c r="A2612" s="151" t="s">
        <v>4580</v>
      </c>
    </row>
    <row r="2613" spans="1:1">
      <c r="A2613" s="151" t="s">
        <v>4581</v>
      </c>
    </row>
    <row r="2614" spans="1:1">
      <c r="A2614" s="151" t="s">
        <v>4582</v>
      </c>
    </row>
    <row r="2615" spans="1:1">
      <c r="A2615" s="151" t="s">
        <v>4583</v>
      </c>
    </row>
    <row r="2616" spans="1:1">
      <c r="A2616" s="151" t="s">
        <v>4584</v>
      </c>
    </row>
    <row r="2617" spans="1:1">
      <c r="A2617" s="151" t="s">
        <v>4585</v>
      </c>
    </row>
    <row r="2618" spans="1:1">
      <c r="A2618" s="151" t="s">
        <v>4586</v>
      </c>
    </row>
    <row r="2619" spans="1:1">
      <c r="A2619" s="151" t="s">
        <v>4587</v>
      </c>
    </row>
    <row r="2620" spans="1:1">
      <c r="A2620" s="151" t="s">
        <v>4588</v>
      </c>
    </row>
    <row r="2621" spans="1:1">
      <c r="A2621" s="151" t="s">
        <v>4589</v>
      </c>
    </row>
    <row r="2622" spans="1:1">
      <c r="A2622" s="151" t="s">
        <v>4590</v>
      </c>
    </row>
    <row r="2623" spans="1:1">
      <c r="A2623" s="151" t="s">
        <v>4591</v>
      </c>
    </row>
    <row r="2624" spans="1:1">
      <c r="A2624" s="151" t="s">
        <v>4592</v>
      </c>
    </row>
    <row r="2625" spans="1:1">
      <c r="A2625" s="151" t="s">
        <v>4593</v>
      </c>
    </row>
    <row r="2626" spans="1:1">
      <c r="A2626" s="151" t="s">
        <v>4594</v>
      </c>
    </row>
    <row r="2627" spans="1:1">
      <c r="A2627" s="151" t="s">
        <v>4595</v>
      </c>
    </row>
    <row r="2628" spans="1:1">
      <c r="A2628" s="151" t="s">
        <v>4596</v>
      </c>
    </row>
    <row r="2629" spans="1:1">
      <c r="A2629" s="151" t="s">
        <v>4597</v>
      </c>
    </row>
    <row r="2630" spans="1:1">
      <c r="A2630" s="151" t="s">
        <v>4598</v>
      </c>
    </row>
    <row r="2631" spans="1:1">
      <c r="A2631" s="151" t="s">
        <v>4599</v>
      </c>
    </row>
    <row r="2632" spans="1:1">
      <c r="A2632" s="151" t="s">
        <v>4600</v>
      </c>
    </row>
    <row r="2633" spans="1:1">
      <c r="A2633" s="151" t="s">
        <v>4601</v>
      </c>
    </row>
    <row r="2634" spans="1:1">
      <c r="A2634" s="151" t="s">
        <v>4602</v>
      </c>
    </row>
    <row r="2635" spans="1:1">
      <c r="A2635" s="151" t="s">
        <v>4603</v>
      </c>
    </row>
    <row r="2636" spans="1:1">
      <c r="A2636" s="151" t="s">
        <v>4604</v>
      </c>
    </row>
    <row r="2637" spans="1:1">
      <c r="A2637" s="151" t="s">
        <v>4605</v>
      </c>
    </row>
    <row r="2638" spans="1:1">
      <c r="A2638" s="151" t="s">
        <v>4606</v>
      </c>
    </row>
    <row r="2639" spans="1:1">
      <c r="A2639" s="151" t="s">
        <v>4607</v>
      </c>
    </row>
    <row r="2640" spans="1:1">
      <c r="A2640" s="151" t="s">
        <v>4608</v>
      </c>
    </row>
    <row r="2641" spans="1:1">
      <c r="A2641" s="151" t="s">
        <v>4609</v>
      </c>
    </row>
    <row r="2642" spans="1:1">
      <c r="A2642" s="151" t="s">
        <v>4610</v>
      </c>
    </row>
    <row r="2643" spans="1:1">
      <c r="A2643" s="151" t="s">
        <v>4611</v>
      </c>
    </row>
    <row r="2644" spans="1:1">
      <c r="A2644" s="151" t="s">
        <v>4612</v>
      </c>
    </row>
    <row r="2645" spans="1:1">
      <c r="A2645" s="151" t="s">
        <v>4613</v>
      </c>
    </row>
    <row r="2646" spans="1:1">
      <c r="A2646" s="151" t="s">
        <v>4614</v>
      </c>
    </row>
    <row r="2647" spans="1:1">
      <c r="A2647" s="151" t="s">
        <v>4615</v>
      </c>
    </row>
    <row r="2648" spans="1:1">
      <c r="A2648" s="151" t="s">
        <v>4616</v>
      </c>
    </row>
    <row r="2649" spans="1:1">
      <c r="A2649" s="151" t="s">
        <v>4617</v>
      </c>
    </row>
    <row r="2650" spans="1:1">
      <c r="A2650" s="151" t="s">
        <v>4618</v>
      </c>
    </row>
    <row r="2651" spans="1:1">
      <c r="A2651" s="151" t="s">
        <v>4619</v>
      </c>
    </row>
    <row r="2652" spans="1:1">
      <c r="A2652" s="151" t="s">
        <v>4620</v>
      </c>
    </row>
    <row r="2653" spans="1:1">
      <c r="A2653" s="151" t="s">
        <v>4621</v>
      </c>
    </row>
    <row r="2654" spans="1:1">
      <c r="A2654" s="151" t="s">
        <v>4622</v>
      </c>
    </row>
    <row r="2655" spans="1:1">
      <c r="A2655" s="151" t="s">
        <v>4623</v>
      </c>
    </row>
    <row r="2656" spans="1:1">
      <c r="A2656" s="151" t="s">
        <v>4624</v>
      </c>
    </row>
    <row r="2657" spans="1:1">
      <c r="A2657" s="151" t="s">
        <v>4625</v>
      </c>
    </row>
    <row r="2658" spans="1:1">
      <c r="A2658" s="151" t="s">
        <v>4626</v>
      </c>
    </row>
    <row r="2659" spans="1:1">
      <c r="A2659" s="151" t="s">
        <v>4627</v>
      </c>
    </row>
    <row r="2660" spans="1:1">
      <c r="A2660" s="151" t="s">
        <v>4628</v>
      </c>
    </row>
    <row r="2661" spans="1:1">
      <c r="A2661" s="151" t="s">
        <v>4629</v>
      </c>
    </row>
    <row r="2662" spans="1:1">
      <c r="A2662" s="151" t="s">
        <v>4630</v>
      </c>
    </row>
    <row r="2663" spans="1:1">
      <c r="A2663" s="151" t="s">
        <v>4631</v>
      </c>
    </row>
    <row r="2664" spans="1:1">
      <c r="A2664" s="151" t="s">
        <v>4632</v>
      </c>
    </row>
    <row r="2665" spans="1:1">
      <c r="A2665" s="151" t="s">
        <v>4633</v>
      </c>
    </row>
    <row r="2666" spans="1:1">
      <c r="A2666" s="151" t="s">
        <v>4634</v>
      </c>
    </row>
    <row r="2667" spans="1:1">
      <c r="A2667" s="151" t="s">
        <v>4635</v>
      </c>
    </row>
    <row r="2668" spans="1:1">
      <c r="A2668" s="151" t="s">
        <v>4636</v>
      </c>
    </row>
    <row r="2669" spans="1:1">
      <c r="A2669" s="151" t="s">
        <v>4637</v>
      </c>
    </row>
    <row r="2670" spans="1:1">
      <c r="A2670" s="151" t="s">
        <v>4638</v>
      </c>
    </row>
    <row r="2671" spans="1:1">
      <c r="A2671" s="151" t="s">
        <v>4639</v>
      </c>
    </row>
    <row r="2672" spans="1:1">
      <c r="A2672" s="151" t="s">
        <v>4640</v>
      </c>
    </row>
    <row r="2673" spans="1:1">
      <c r="A2673" s="151" t="s">
        <v>4641</v>
      </c>
    </row>
    <row r="2674" spans="1:1">
      <c r="A2674" s="151" t="s">
        <v>4642</v>
      </c>
    </row>
    <row r="2675" spans="1:1">
      <c r="A2675" s="151" t="s">
        <v>4643</v>
      </c>
    </row>
    <row r="2676" spans="1:1">
      <c r="A2676" s="151" t="s">
        <v>4644</v>
      </c>
    </row>
    <row r="2677" spans="1:1">
      <c r="A2677" s="151" t="s">
        <v>4645</v>
      </c>
    </row>
    <row r="2678" spans="1:1">
      <c r="A2678" s="151" t="s">
        <v>4646</v>
      </c>
    </row>
    <row r="2679" spans="1:1">
      <c r="A2679" s="151" t="s">
        <v>4647</v>
      </c>
    </row>
    <row r="2680" spans="1:1">
      <c r="A2680" s="151" t="s">
        <v>4648</v>
      </c>
    </row>
    <row r="2681" spans="1:1">
      <c r="A2681" s="151" t="s">
        <v>4649</v>
      </c>
    </row>
    <row r="2682" spans="1:1">
      <c r="A2682" s="151" t="s">
        <v>4650</v>
      </c>
    </row>
    <row r="2683" spans="1:1">
      <c r="A2683" s="151" t="s">
        <v>4651</v>
      </c>
    </row>
    <row r="2684" spans="1:1">
      <c r="A2684" s="151" t="s">
        <v>4652</v>
      </c>
    </row>
    <row r="2685" spans="1:1">
      <c r="A2685" s="151" t="s">
        <v>4653</v>
      </c>
    </row>
    <row r="2686" spans="1:1">
      <c r="A2686" s="151" t="s">
        <v>4654</v>
      </c>
    </row>
    <row r="2687" spans="1:1">
      <c r="A2687" s="151" t="s">
        <v>4655</v>
      </c>
    </row>
    <row r="2688" spans="1:1">
      <c r="A2688" s="151" t="s">
        <v>4656</v>
      </c>
    </row>
    <row r="2689" spans="1:1">
      <c r="A2689" s="151" t="s">
        <v>4657</v>
      </c>
    </row>
    <row r="2690" spans="1:1">
      <c r="A2690" s="151" t="s">
        <v>4658</v>
      </c>
    </row>
    <row r="2691" spans="1:1">
      <c r="A2691" s="151" t="s">
        <v>4659</v>
      </c>
    </row>
    <row r="2692" spans="1:1">
      <c r="A2692" s="151" t="s">
        <v>4660</v>
      </c>
    </row>
    <row r="2693" spans="1:1">
      <c r="A2693" s="151" t="s">
        <v>4661</v>
      </c>
    </row>
    <row r="2694" spans="1:1">
      <c r="A2694" s="151" t="s">
        <v>4662</v>
      </c>
    </row>
    <row r="2695" spans="1:1">
      <c r="A2695" s="151" t="s">
        <v>4663</v>
      </c>
    </row>
    <row r="2696" spans="1:1">
      <c r="A2696" s="151" t="s">
        <v>4664</v>
      </c>
    </row>
    <row r="2697" spans="1:1">
      <c r="A2697" s="151" t="s">
        <v>4665</v>
      </c>
    </row>
    <row r="2698" spans="1:1">
      <c r="A2698" s="151" t="s">
        <v>4666</v>
      </c>
    </row>
    <row r="2699" spans="1:1">
      <c r="A2699" s="151" t="s">
        <v>4667</v>
      </c>
    </row>
    <row r="2700" spans="1:1">
      <c r="A2700" s="151" t="s">
        <v>4668</v>
      </c>
    </row>
    <row r="2701" spans="1:1">
      <c r="A2701" s="151" t="s">
        <v>4669</v>
      </c>
    </row>
    <row r="2702" spans="1:1">
      <c r="A2702" s="151" t="s">
        <v>4670</v>
      </c>
    </row>
    <row r="2703" spans="1:1">
      <c r="A2703" s="151" t="s">
        <v>4671</v>
      </c>
    </row>
    <row r="2704" spans="1:1">
      <c r="A2704" s="151" t="s">
        <v>4672</v>
      </c>
    </row>
    <row r="2705" spans="1:1">
      <c r="A2705" s="151" t="s">
        <v>4673</v>
      </c>
    </row>
    <row r="2706" spans="1:1">
      <c r="A2706" s="151" t="s">
        <v>4674</v>
      </c>
    </row>
    <row r="2707" spans="1:1">
      <c r="A2707" s="151" t="s">
        <v>4675</v>
      </c>
    </row>
    <row r="2708" spans="1:1">
      <c r="A2708" s="151" t="s">
        <v>4676</v>
      </c>
    </row>
    <row r="2709" spans="1:1">
      <c r="A2709" s="151" t="s">
        <v>4677</v>
      </c>
    </row>
    <row r="2710" spans="1:1">
      <c r="A2710" s="151" t="s">
        <v>4678</v>
      </c>
    </row>
    <row r="2711" spans="1:1">
      <c r="A2711" s="151" t="s">
        <v>4679</v>
      </c>
    </row>
    <row r="2712" spans="1:1">
      <c r="A2712" s="151" t="s">
        <v>4680</v>
      </c>
    </row>
    <row r="2713" spans="1:1">
      <c r="A2713" s="151" t="s">
        <v>4681</v>
      </c>
    </row>
    <row r="2714" spans="1:1">
      <c r="A2714" s="151" t="s">
        <v>4682</v>
      </c>
    </row>
    <row r="2715" spans="1:1">
      <c r="A2715" s="151" t="s">
        <v>4683</v>
      </c>
    </row>
    <row r="2716" spans="1:1">
      <c r="A2716" s="151" t="s">
        <v>4684</v>
      </c>
    </row>
    <row r="2717" spans="1:1">
      <c r="A2717" s="151" t="s">
        <v>4685</v>
      </c>
    </row>
    <row r="2718" spans="1:1">
      <c r="A2718" s="151" t="s">
        <v>4686</v>
      </c>
    </row>
    <row r="2719" spans="1:1">
      <c r="A2719" s="151" t="s">
        <v>4687</v>
      </c>
    </row>
    <row r="2720" spans="1:1">
      <c r="A2720" s="151" t="s">
        <v>4688</v>
      </c>
    </row>
    <row r="2721" spans="1:1">
      <c r="A2721" s="151" t="s">
        <v>4689</v>
      </c>
    </row>
    <row r="2722" spans="1:1">
      <c r="A2722" s="151" t="s">
        <v>4690</v>
      </c>
    </row>
    <row r="2723" spans="1:1">
      <c r="A2723" s="151" t="s">
        <v>4691</v>
      </c>
    </row>
    <row r="2724" spans="1:1">
      <c r="A2724" s="151" t="s">
        <v>4692</v>
      </c>
    </row>
    <row r="2725" spans="1:1">
      <c r="A2725" s="151" t="s">
        <v>4693</v>
      </c>
    </row>
    <row r="2726" spans="1:1">
      <c r="A2726" s="151" t="s">
        <v>4694</v>
      </c>
    </row>
    <row r="2727" spans="1:1">
      <c r="A2727" s="151" t="s">
        <v>4695</v>
      </c>
    </row>
    <row r="2728" spans="1:1">
      <c r="A2728" s="151" t="s">
        <v>4696</v>
      </c>
    </row>
    <row r="2729" spans="1:1">
      <c r="A2729" s="151" t="s">
        <v>4697</v>
      </c>
    </row>
    <row r="2730" spans="1:1">
      <c r="A2730" s="151" t="s">
        <v>4698</v>
      </c>
    </row>
    <row r="2731" spans="1:1">
      <c r="A2731" s="151" t="s">
        <v>4699</v>
      </c>
    </row>
    <row r="2732" spans="1:1">
      <c r="A2732" s="151" t="s">
        <v>4700</v>
      </c>
    </row>
    <row r="2733" spans="1:1">
      <c r="A2733" s="151" t="s">
        <v>4701</v>
      </c>
    </row>
    <row r="2734" spans="1:1">
      <c r="A2734" s="151" t="s">
        <v>4702</v>
      </c>
    </row>
    <row r="2735" spans="1:1">
      <c r="A2735" s="151" t="s">
        <v>4703</v>
      </c>
    </row>
    <row r="2736" spans="1:1">
      <c r="A2736" s="151" t="s">
        <v>4704</v>
      </c>
    </row>
    <row r="2737" spans="1:1">
      <c r="A2737" s="151" t="s">
        <v>4705</v>
      </c>
    </row>
    <row r="2738" spans="1:1">
      <c r="A2738" s="151" t="s">
        <v>4706</v>
      </c>
    </row>
    <row r="2739" spans="1:1">
      <c r="A2739" s="151" t="s">
        <v>4707</v>
      </c>
    </row>
    <row r="2740" spans="1:1">
      <c r="A2740" s="151" t="s">
        <v>4708</v>
      </c>
    </row>
    <row r="2741" spans="1:1">
      <c r="A2741" s="151" t="s">
        <v>4709</v>
      </c>
    </row>
    <row r="2742" spans="1:1">
      <c r="A2742" s="151" t="s">
        <v>4710</v>
      </c>
    </row>
    <row r="2743" spans="1:1">
      <c r="A2743" s="151" t="s">
        <v>4711</v>
      </c>
    </row>
    <row r="2744" spans="1:1">
      <c r="A2744" s="151" t="s">
        <v>4712</v>
      </c>
    </row>
    <row r="2745" spans="1:1">
      <c r="A2745" s="151" t="s">
        <v>4713</v>
      </c>
    </row>
    <row r="2746" spans="1:1">
      <c r="A2746" s="151" t="s">
        <v>4714</v>
      </c>
    </row>
    <row r="2747" spans="1:1">
      <c r="A2747" s="151" t="s">
        <v>4715</v>
      </c>
    </row>
    <row r="2748" spans="1:1">
      <c r="A2748" s="151" t="s">
        <v>4716</v>
      </c>
    </row>
    <row r="2749" spans="1:1">
      <c r="A2749" s="151" t="s">
        <v>4717</v>
      </c>
    </row>
    <row r="2750" spans="1:1">
      <c r="A2750" s="151" t="s">
        <v>4718</v>
      </c>
    </row>
    <row r="2751" spans="1:1">
      <c r="A2751" s="151" t="s">
        <v>4719</v>
      </c>
    </row>
    <row r="2752" spans="1:1">
      <c r="A2752" s="151" t="s">
        <v>4720</v>
      </c>
    </row>
    <row r="2753" spans="1:1">
      <c r="A2753" s="151" t="s">
        <v>4721</v>
      </c>
    </row>
    <row r="2754" spans="1:1">
      <c r="A2754" s="151" t="s">
        <v>4722</v>
      </c>
    </row>
    <row r="2755" spans="1:1">
      <c r="A2755" s="151" t="s">
        <v>4723</v>
      </c>
    </row>
    <row r="2756" spans="1:1">
      <c r="A2756" s="151" t="s">
        <v>4724</v>
      </c>
    </row>
    <row r="2757" spans="1:1">
      <c r="A2757" s="151" t="s">
        <v>4725</v>
      </c>
    </row>
    <row r="2758" spans="1:1">
      <c r="A2758" s="151" t="s">
        <v>4726</v>
      </c>
    </row>
    <row r="2759" spans="1:1">
      <c r="A2759" s="151" t="s">
        <v>4727</v>
      </c>
    </row>
    <row r="2760" spans="1:1">
      <c r="A2760" s="151" t="s">
        <v>4728</v>
      </c>
    </row>
    <row r="2761" spans="1:1">
      <c r="A2761" s="151" t="s">
        <v>4729</v>
      </c>
    </row>
    <row r="2762" spans="1:1">
      <c r="A2762" s="151" t="s">
        <v>4730</v>
      </c>
    </row>
    <row r="2763" spans="1:1">
      <c r="A2763" s="151" t="s">
        <v>4731</v>
      </c>
    </row>
    <row r="2764" spans="1:1">
      <c r="A2764" s="151" t="s">
        <v>4732</v>
      </c>
    </row>
    <row r="2765" spans="1:1">
      <c r="A2765" s="151" t="s">
        <v>4733</v>
      </c>
    </row>
    <row r="2766" spans="1:1">
      <c r="A2766" s="151" t="s">
        <v>4734</v>
      </c>
    </row>
    <row r="2767" spans="1:1">
      <c r="A2767" s="151" t="s">
        <v>4735</v>
      </c>
    </row>
    <row r="2768" spans="1:1">
      <c r="A2768" s="151" t="s">
        <v>4736</v>
      </c>
    </row>
    <row r="2769" spans="1:1">
      <c r="A2769" s="151" t="s">
        <v>4737</v>
      </c>
    </row>
    <row r="2770" spans="1:1">
      <c r="A2770" s="151" t="s">
        <v>4738</v>
      </c>
    </row>
    <row r="2771" spans="1:1">
      <c r="A2771" s="151" t="s">
        <v>4739</v>
      </c>
    </row>
    <row r="2772" spans="1:1">
      <c r="A2772" s="151" t="s">
        <v>4740</v>
      </c>
    </row>
    <row r="2773" spans="1:1">
      <c r="A2773" s="151" t="s">
        <v>4741</v>
      </c>
    </row>
    <row r="2774" spans="1:1">
      <c r="A2774" s="151" t="s">
        <v>4742</v>
      </c>
    </row>
    <row r="2775" spans="1:1">
      <c r="A2775" s="151" t="s">
        <v>4743</v>
      </c>
    </row>
    <row r="2776" spans="1:1">
      <c r="A2776" s="151" t="s">
        <v>4744</v>
      </c>
    </row>
    <row r="2777" spans="1:1">
      <c r="A2777" s="151" t="s">
        <v>4745</v>
      </c>
    </row>
    <row r="2778" spans="1:1">
      <c r="A2778" s="151" t="s">
        <v>4746</v>
      </c>
    </row>
    <row r="2779" spans="1:1">
      <c r="A2779" s="151" t="s">
        <v>4747</v>
      </c>
    </row>
    <row r="2780" spans="1:1">
      <c r="A2780" s="151" t="s">
        <v>4748</v>
      </c>
    </row>
    <row r="2781" spans="1:1">
      <c r="A2781" s="151" t="s">
        <v>4749</v>
      </c>
    </row>
    <row r="2782" spans="1:1">
      <c r="A2782" s="151" t="s">
        <v>4750</v>
      </c>
    </row>
    <row r="2783" spans="1:1">
      <c r="A2783" s="151" t="s">
        <v>4751</v>
      </c>
    </row>
    <row r="2784" spans="1:1">
      <c r="A2784" s="151" t="s">
        <v>4752</v>
      </c>
    </row>
    <row r="2785" spans="1:1">
      <c r="A2785" s="151" t="s">
        <v>4753</v>
      </c>
    </row>
    <row r="2786" spans="1:1">
      <c r="A2786" s="151" t="s">
        <v>4754</v>
      </c>
    </row>
    <row r="2787" spans="1:1">
      <c r="A2787" s="151" t="s">
        <v>4755</v>
      </c>
    </row>
    <row r="2788" spans="1:1">
      <c r="A2788" s="151" t="s">
        <v>4756</v>
      </c>
    </row>
    <row r="2789" spans="1:1">
      <c r="A2789" s="151" t="s">
        <v>4757</v>
      </c>
    </row>
    <row r="2790" spans="1:1">
      <c r="A2790" s="151" t="s">
        <v>4758</v>
      </c>
    </row>
    <row r="2791" spans="1:1">
      <c r="A2791" s="151" t="s">
        <v>4759</v>
      </c>
    </row>
    <row r="2792" spans="1:1">
      <c r="A2792" s="151" t="s">
        <v>4760</v>
      </c>
    </row>
    <row r="2793" spans="1:1">
      <c r="A2793" s="151" t="s">
        <v>4761</v>
      </c>
    </row>
    <row r="2794" spans="1:1">
      <c r="A2794" s="151" t="s">
        <v>4762</v>
      </c>
    </row>
    <row r="2795" spans="1:1">
      <c r="A2795" s="151" t="s">
        <v>4763</v>
      </c>
    </row>
    <row r="2796" spans="1:1">
      <c r="A2796" s="151" t="s">
        <v>4764</v>
      </c>
    </row>
    <row r="2797" spans="1:1">
      <c r="A2797" s="151" t="s">
        <v>4765</v>
      </c>
    </row>
    <row r="2798" spans="1:1">
      <c r="A2798" s="151" t="s">
        <v>4766</v>
      </c>
    </row>
    <row r="2799" spans="1:1">
      <c r="A2799" s="151" t="s">
        <v>4767</v>
      </c>
    </row>
    <row r="2800" spans="1:1">
      <c r="A2800" s="151" t="s">
        <v>4768</v>
      </c>
    </row>
    <row r="2801" spans="1:1">
      <c r="A2801" s="151" t="s">
        <v>4769</v>
      </c>
    </row>
    <row r="2802" spans="1:1">
      <c r="A2802" s="151" t="s">
        <v>4770</v>
      </c>
    </row>
    <row r="2803" spans="1:1">
      <c r="A2803" s="151" t="s">
        <v>4771</v>
      </c>
    </row>
    <row r="2804" spans="1:1">
      <c r="A2804" s="151" t="s">
        <v>4772</v>
      </c>
    </row>
    <row r="2805" spans="1:1">
      <c r="A2805" s="151" t="s">
        <v>4773</v>
      </c>
    </row>
    <row r="2806" spans="1:1">
      <c r="A2806" s="151" t="s">
        <v>4774</v>
      </c>
    </row>
    <row r="2807" spans="1:1">
      <c r="A2807" s="151" t="s">
        <v>4775</v>
      </c>
    </row>
    <row r="2808" spans="1:1">
      <c r="A2808" s="151" t="s">
        <v>4776</v>
      </c>
    </row>
    <row r="2809" spans="1:1">
      <c r="A2809" s="151" t="s">
        <v>4777</v>
      </c>
    </row>
    <row r="2810" spans="1:1">
      <c r="A2810" s="151" t="s">
        <v>4778</v>
      </c>
    </row>
    <row r="2811" spans="1:1">
      <c r="A2811" s="151" t="s">
        <v>4779</v>
      </c>
    </row>
    <row r="2812" spans="1:1">
      <c r="A2812" s="151" t="s">
        <v>4780</v>
      </c>
    </row>
    <row r="2813" spans="1:1">
      <c r="A2813" s="151" t="s">
        <v>4781</v>
      </c>
    </row>
    <row r="2814" spans="1:1">
      <c r="A2814" s="151" t="s">
        <v>4782</v>
      </c>
    </row>
    <row r="2815" spans="1:1">
      <c r="A2815" s="151" t="s">
        <v>4783</v>
      </c>
    </row>
    <row r="2816" spans="1:1">
      <c r="A2816" s="151" t="s">
        <v>4784</v>
      </c>
    </row>
    <row r="2817" spans="1:1">
      <c r="A2817" s="151" t="s">
        <v>4785</v>
      </c>
    </row>
    <row r="2818" spans="1:1">
      <c r="A2818" s="151" t="s">
        <v>4786</v>
      </c>
    </row>
    <row r="2819" spans="1:1">
      <c r="A2819" s="151" t="s">
        <v>4787</v>
      </c>
    </row>
    <row r="2820" spans="1:1">
      <c r="A2820" s="151" t="s">
        <v>4788</v>
      </c>
    </row>
    <row r="2821" spans="1:1">
      <c r="A2821" s="151" t="s">
        <v>4789</v>
      </c>
    </row>
    <row r="2822" spans="1:1">
      <c r="A2822" s="151" t="s">
        <v>4790</v>
      </c>
    </row>
    <row r="2823" spans="1:1">
      <c r="A2823" s="151" t="s">
        <v>4791</v>
      </c>
    </row>
    <row r="2824" spans="1:1">
      <c r="A2824" s="151" t="s">
        <v>4792</v>
      </c>
    </row>
    <row r="2825" spans="1:1">
      <c r="A2825" s="151" t="s">
        <v>4793</v>
      </c>
    </row>
    <row r="2826" spans="1:1">
      <c r="A2826" s="151" t="s">
        <v>4794</v>
      </c>
    </row>
    <row r="2827" spans="1:1">
      <c r="A2827" s="151" t="s">
        <v>4795</v>
      </c>
    </row>
    <row r="2828" spans="1:1">
      <c r="A2828" s="151" t="s">
        <v>4796</v>
      </c>
    </row>
    <row r="2829" spans="1:1">
      <c r="A2829" s="151" t="s">
        <v>4797</v>
      </c>
    </row>
    <row r="2830" spans="1:1">
      <c r="A2830" s="151" t="s">
        <v>4798</v>
      </c>
    </row>
    <row r="2831" spans="1:1">
      <c r="A2831" s="151" t="s">
        <v>4799</v>
      </c>
    </row>
    <row r="2832" spans="1:1">
      <c r="A2832" s="151" t="s">
        <v>4800</v>
      </c>
    </row>
    <row r="2833" spans="1:1">
      <c r="A2833" s="151" t="s">
        <v>4801</v>
      </c>
    </row>
    <row r="2834" spans="1:1">
      <c r="A2834" s="151" t="s">
        <v>4802</v>
      </c>
    </row>
    <row r="2835" spans="1:1">
      <c r="A2835" s="151" t="s">
        <v>4803</v>
      </c>
    </row>
    <row r="2836" spans="1:1">
      <c r="A2836" s="151" t="s">
        <v>4804</v>
      </c>
    </row>
    <row r="2837" spans="1:1">
      <c r="A2837" s="151" t="s">
        <v>4805</v>
      </c>
    </row>
    <row r="2838" spans="1:1">
      <c r="A2838" s="151" t="s">
        <v>4806</v>
      </c>
    </row>
    <row r="2839" spans="1:1">
      <c r="A2839" s="151" t="s">
        <v>4807</v>
      </c>
    </row>
    <row r="2840" spans="1:1">
      <c r="A2840" s="151" t="s">
        <v>4808</v>
      </c>
    </row>
    <row r="2841" spans="1:1">
      <c r="A2841" s="151" t="s">
        <v>4809</v>
      </c>
    </row>
    <row r="2842" spans="1:1">
      <c r="A2842" s="151" t="s">
        <v>4810</v>
      </c>
    </row>
    <row r="2843" spans="1:1">
      <c r="A2843" s="151" t="s">
        <v>4811</v>
      </c>
    </row>
    <row r="2844" spans="1:1">
      <c r="A2844" s="151" t="s">
        <v>4812</v>
      </c>
    </row>
    <row r="2845" spans="1:1">
      <c r="A2845" s="151" t="s">
        <v>4813</v>
      </c>
    </row>
    <row r="2846" spans="1:1">
      <c r="A2846" s="151" t="s">
        <v>4814</v>
      </c>
    </row>
    <row r="2847" spans="1:1">
      <c r="A2847" s="151" t="s">
        <v>4815</v>
      </c>
    </row>
    <row r="2848" spans="1:1">
      <c r="A2848" s="151" t="s">
        <v>4816</v>
      </c>
    </row>
    <row r="2849" spans="1:1">
      <c r="A2849" s="151" t="s">
        <v>4817</v>
      </c>
    </row>
    <row r="2850" spans="1:1">
      <c r="A2850" s="151" t="s">
        <v>4818</v>
      </c>
    </row>
    <row r="2851" spans="1:1">
      <c r="A2851" s="151" t="s">
        <v>4819</v>
      </c>
    </row>
    <row r="2852" spans="1:1">
      <c r="A2852" s="151" t="s">
        <v>4820</v>
      </c>
    </row>
    <row r="2853" spans="1:1">
      <c r="A2853" s="151" t="s">
        <v>4821</v>
      </c>
    </row>
    <row r="2854" spans="1:1">
      <c r="A2854" s="151" t="s">
        <v>4822</v>
      </c>
    </row>
    <row r="2855" spans="1:1">
      <c r="A2855" s="151" t="s">
        <v>4823</v>
      </c>
    </row>
    <row r="2856" spans="1:1">
      <c r="A2856" s="151" t="s">
        <v>4824</v>
      </c>
    </row>
    <row r="2857" spans="1:1">
      <c r="A2857" s="151" t="s">
        <v>4825</v>
      </c>
    </row>
    <row r="2858" spans="1:1">
      <c r="A2858" s="151" t="s">
        <v>4826</v>
      </c>
    </row>
    <row r="2859" spans="1:1">
      <c r="A2859" s="151" t="s">
        <v>4827</v>
      </c>
    </row>
    <row r="2860" spans="1:1">
      <c r="A2860" s="151" t="s">
        <v>4828</v>
      </c>
    </row>
    <row r="2861" spans="1:1">
      <c r="A2861" s="151" t="s">
        <v>4829</v>
      </c>
    </row>
    <row r="2862" spans="1:1">
      <c r="A2862" s="151" t="s">
        <v>4830</v>
      </c>
    </row>
    <row r="2863" spans="1:1">
      <c r="A2863" s="151" t="s">
        <v>4831</v>
      </c>
    </row>
    <row r="2864" spans="1:1">
      <c r="A2864" s="151" t="s">
        <v>4832</v>
      </c>
    </row>
    <row r="2865" spans="1:1">
      <c r="A2865" s="151" t="s">
        <v>4833</v>
      </c>
    </row>
    <row r="2866" spans="1:1">
      <c r="A2866" s="151" t="s">
        <v>4834</v>
      </c>
    </row>
    <row r="2867" spans="1:1">
      <c r="A2867" s="151" t="s">
        <v>4835</v>
      </c>
    </row>
    <row r="2868" spans="1:1">
      <c r="A2868" s="151" t="s">
        <v>4836</v>
      </c>
    </row>
    <row r="2869" spans="1:1">
      <c r="A2869" s="151" t="s">
        <v>4837</v>
      </c>
    </row>
    <row r="2870" spans="1:1">
      <c r="A2870" s="151" t="s">
        <v>4838</v>
      </c>
    </row>
    <row r="2871" spans="1:1">
      <c r="A2871" s="151" t="s">
        <v>4839</v>
      </c>
    </row>
    <row r="2872" spans="1:1">
      <c r="A2872" s="151" t="s">
        <v>4840</v>
      </c>
    </row>
    <row r="2873" spans="1:1">
      <c r="A2873" s="151" t="s">
        <v>4841</v>
      </c>
    </row>
    <row r="2874" spans="1:1">
      <c r="A2874" s="151" t="s">
        <v>4842</v>
      </c>
    </row>
    <row r="2875" spans="1:1">
      <c r="A2875" s="151" t="s">
        <v>4843</v>
      </c>
    </row>
    <row r="2876" spans="1:1">
      <c r="A2876" s="151" t="s">
        <v>4844</v>
      </c>
    </row>
    <row r="2877" spans="1:1">
      <c r="A2877" s="151" t="s">
        <v>4845</v>
      </c>
    </row>
    <row r="2878" spans="1:1">
      <c r="A2878" s="151" t="s">
        <v>4846</v>
      </c>
    </row>
    <row r="2879" spans="1:1">
      <c r="A2879" s="151" t="s">
        <v>4847</v>
      </c>
    </row>
    <row r="2880" spans="1:1">
      <c r="A2880" s="151" t="s">
        <v>4848</v>
      </c>
    </row>
    <row r="2881" spans="1:1">
      <c r="A2881" s="151" t="s">
        <v>4849</v>
      </c>
    </row>
    <row r="2882" spans="1:1">
      <c r="A2882" s="151" t="s">
        <v>4850</v>
      </c>
    </row>
    <row r="2883" spans="1:1">
      <c r="A2883" s="151" t="s">
        <v>4851</v>
      </c>
    </row>
    <row r="2884" spans="1:1">
      <c r="A2884" s="151" t="s">
        <v>4852</v>
      </c>
    </row>
    <row r="2885" spans="1:1">
      <c r="A2885" s="151" t="s">
        <v>4853</v>
      </c>
    </row>
    <row r="2886" spans="1:1">
      <c r="A2886" s="151" t="s">
        <v>4854</v>
      </c>
    </row>
    <row r="2887" spans="1:1">
      <c r="A2887" s="151" t="s">
        <v>4855</v>
      </c>
    </row>
    <row r="2888" spans="1:1">
      <c r="A2888" s="151" t="s">
        <v>4856</v>
      </c>
    </row>
    <row r="2889" spans="1:1">
      <c r="A2889" s="151" t="s">
        <v>4857</v>
      </c>
    </row>
    <row r="2890" spans="1:1">
      <c r="A2890" s="151" t="s">
        <v>4858</v>
      </c>
    </row>
    <row r="2891" spans="1:1">
      <c r="A2891" s="151" t="s">
        <v>4859</v>
      </c>
    </row>
    <row r="2892" spans="1:1">
      <c r="A2892" s="151" t="s">
        <v>4860</v>
      </c>
    </row>
    <row r="2893" spans="1:1">
      <c r="A2893" s="151" t="s">
        <v>4861</v>
      </c>
    </row>
    <row r="2894" spans="1:1">
      <c r="A2894" s="151" t="s">
        <v>4862</v>
      </c>
    </row>
    <row r="2895" spans="1:1">
      <c r="A2895" s="151" t="s">
        <v>4863</v>
      </c>
    </row>
    <row r="2896" spans="1:1">
      <c r="A2896" s="151" t="s">
        <v>4864</v>
      </c>
    </row>
    <row r="2897" spans="1:1">
      <c r="A2897" s="151" t="s">
        <v>4865</v>
      </c>
    </row>
    <row r="2898" spans="1:1">
      <c r="A2898" s="151" t="s">
        <v>4866</v>
      </c>
    </row>
    <row r="2899" spans="1:1">
      <c r="A2899" s="151" t="s">
        <v>4867</v>
      </c>
    </row>
    <row r="2900" spans="1:1">
      <c r="A2900" s="151" t="s">
        <v>4868</v>
      </c>
    </row>
    <row r="2901" spans="1:1">
      <c r="A2901" s="151" t="s">
        <v>4869</v>
      </c>
    </row>
    <row r="2902" spans="1:1">
      <c r="A2902" s="151" t="s">
        <v>4870</v>
      </c>
    </row>
    <row r="2903" spans="1:1">
      <c r="A2903" s="151" t="s">
        <v>4871</v>
      </c>
    </row>
    <row r="2904" spans="1:1">
      <c r="A2904" s="151" t="s">
        <v>4872</v>
      </c>
    </row>
    <row r="2905" spans="1:1">
      <c r="A2905" s="151" t="s">
        <v>4873</v>
      </c>
    </row>
    <row r="2906" spans="1:1">
      <c r="A2906" s="151" t="s">
        <v>4874</v>
      </c>
    </row>
    <row r="2907" spans="1:1">
      <c r="A2907" s="151" t="s">
        <v>4875</v>
      </c>
    </row>
    <row r="2908" spans="1:1">
      <c r="A2908" s="151" t="s">
        <v>4876</v>
      </c>
    </row>
    <row r="2909" spans="1:1">
      <c r="A2909" s="151" t="s">
        <v>4877</v>
      </c>
    </row>
    <row r="2910" spans="1:1">
      <c r="A2910" s="151" t="s">
        <v>4878</v>
      </c>
    </row>
    <row r="2911" spans="1:1">
      <c r="A2911" s="151" t="s">
        <v>4879</v>
      </c>
    </row>
    <row r="2912" spans="1:1">
      <c r="A2912" s="151" t="s">
        <v>4880</v>
      </c>
    </row>
    <row r="2913" spans="1:1">
      <c r="A2913" s="151" t="s">
        <v>4881</v>
      </c>
    </row>
    <row r="2914" spans="1:1">
      <c r="A2914" s="151" t="s">
        <v>4882</v>
      </c>
    </row>
    <row r="2915" spans="1:1">
      <c r="A2915" s="151" t="s">
        <v>4883</v>
      </c>
    </row>
    <row r="2916" spans="1:1">
      <c r="A2916" s="151" t="s">
        <v>4884</v>
      </c>
    </row>
    <row r="2917" spans="1:1">
      <c r="A2917" s="151" t="s">
        <v>4885</v>
      </c>
    </row>
    <row r="2918" spans="1:1">
      <c r="A2918" s="151" t="s">
        <v>4886</v>
      </c>
    </row>
    <row r="2919" spans="1:1">
      <c r="A2919" s="151" t="s">
        <v>4887</v>
      </c>
    </row>
    <row r="2920" spans="1:1">
      <c r="A2920" s="151" t="s">
        <v>4888</v>
      </c>
    </row>
    <row r="2921" spans="1:1">
      <c r="A2921" s="151" t="s">
        <v>4889</v>
      </c>
    </row>
    <row r="2922" spans="1:1">
      <c r="A2922" s="151" t="s">
        <v>4890</v>
      </c>
    </row>
    <row r="2923" spans="1:1">
      <c r="A2923" s="151" t="s">
        <v>4891</v>
      </c>
    </row>
    <row r="2924" spans="1:1">
      <c r="A2924" s="151" t="s">
        <v>4892</v>
      </c>
    </row>
    <row r="2925" spans="1:1">
      <c r="A2925" s="151" t="s">
        <v>4893</v>
      </c>
    </row>
    <row r="2926" spans="1:1">
      <c r="A2926" s="151" t="s">
        <v>4894</v>
      </c>
    </row>
    <row r="2927" spans="1:1">
      <c r="A2927" s="151" t="s">
        <v>4895</v>
      </c>
    </row>
    <row r="2928" spans="1:1">
      <c r="A2928" s="151" t="s">
        <v>4896</v>
      </c>
    </row>
    <row r="2929" spans="1:1">
      <c r="A2929" s="151" t="s">
        <v>4897</v>
      </c>
    </row>
    <row r="2930" spans="1:1">
      <c r="A2930" s="151" t="s">
        <v>4898</v>
      </c>
    </row>
    <row r="2931" spans="1:1">
      <c r="A2931" s="151" t="s">
        <v>4899</v>
      </c>
    </row>
    <row r="2932" spans="1:1">
      <c r="A2932" s="151" t="s">
        <v>4900</v>
      </c>
    </row>
    <row r="2933" spans="1:1">
      <c r="A2933" s="151" t="s">
        <v>4901</v>
      </c>
    </row>
    <row r="2934" spans="1:1">
      <c r="A2934" s="151" t="s">
        <v>4902</v>
      </c>
    </row>
    <row r="2935" spans="1:1">
      <c r="A2935" s="151" t="s">
        <v>4903</v>
      </c>
    </row>
    <row r="2936" spans="1:1">
      <c r="A2936" s="151" t="s">
        <v>4904</v>
      </c>
    </row>
    <row r="2937" spans="1:1">
      <c r="A2937" s="151" t="s">
        <v>4905</v>
      </c>
    </row>
    <row r="2938" spans="1:1">
      <c r="A2938" s="151" t="s">
        <v>4906</v>
      </c>
    </row>
    <row r="2939" spans="1:1">
      <c r="A2939" s="151" t="s">
        <v>4907</v>
      </c>
    </row>
    <row r="2940" spans="1:1">
      <c r="A2940" s="151" t="s">
        <v>4908</v>
      </c>
    </row>
    <row r="2941" spans="1:1">
      <c r="A2941" s="151" t="s">
        <v>4909</v>
      </c>
    </row>
    <row r="2942" spans="1:1">
      <c r="A2942" s="151" t="s">
        <v>4910</v>
      </c>
    </row>
    <row r="2943" spans="1:1">
      <c r="A2943" s="151" t="s">
        <v>4911</v>
      </c>
    </row>
    <row r="2944" spans="1:1">
      <c r="A2944" s="151" t="s">
        <v>4912</v>
      </c>
    </row>
    <row r="2945" spans="1:1">
      <c r="A2945" s="151" t="s">
        <v>4913</v>
      </c>
    </row>
    <row r="2946" spans="1:1">
      <c r="A2946" s="151" t="s">
        <v>4914</v>
      </c>
    </row>
    <row r="2947" spans="1:1">
      <c r="A2947" s="151" t="s">
        <v>4915</v>
      </c>
    </row>
    <row r="2948" spans="1:1">
      <c r="A2948" s="151" t="s">
        <v>4916</v>
      </c>
    </row>
    <row r="2949" spans="1:1">
      <c r="A2949" s="151" t="s">
        <v>4917</v>
      </c>
    </row>
    <row r="2950" spans="1:1">
      <c r="A2950" s="151" t="s">
        <v>4918</v>
      </c>
    </row>
    <row r="2951" spans="1:1">
      <c r="A2951" s="151" t="s">
        <v>4919</v>
      </c>
    </row>
    <row r="2952" spans="1:1">
      <c r="A2952" s="151" t="s">
        <v>4920</v>
      </c>
    </row>
    <row r="2953" spans="1:1">
      <c r="A2953" s="151" t="s">
        <v>4921</v>
      </c>
    </row>
    <row r="2954" spans="1:1">
      <c r="A2954" s="151" t="s">
        <v>4922</v>
      </c>
    </row>
    <row r="2955" spans="1:1">
      <c r="A2955" s="151" t="s">
        <v>4923</v>
      </c>
    </row>
    <row r="2956" spans="1:1">
      <c r="A2956" s="151" t="s">
        <v>4924</v>
      </c>
    </row>
    <row r="2957" spans="1:1">
      <c r="A2957" s="151" t="s">
        <v>4925</v>
      </c>
    </row>
    <row r="2958" spans="1:1">
      <c r="A2958" s="151" t="s">
        <v>4926</v>
      </c>
    </row>
    <row r="2959" spans="1:1">
      <c r="A2959" s="151" t="s">
        <v>4927</v>
      </c>
    </row>
    <row r="2960" spans="1:1">
      <c r="A2960" s="151" t="s">
        <v>4928</v>
      </c>
    </row>
    <row r="2961" spans="1:1">
      <c r="A2961" s="151" t="s">
        <v>4929</v>
      </c>
    </row>
    <row r="2962" spans="1:1">
      <c r="A2962" s="151" t="s">
        <v>4930</v>
      </c>
    </row>
    <row r="2963" spans="1:1">
      <c r="A2963" s="151" t="s">
        <v>4931</v>
      </c>
    </row>
    <row r="2964" spans="1:1">
      <c r="A2964" s="151" t="s">
        <v>4932</v>
      </c>
    </row>
    <row r="2965" spans="1:1">
      <c r="A2965" s="151" t="s">
        <v>4933</v>
      </c>
    </row>
    <row r="2966" spans="1:1">
      <c r="A2966" s="151" t="s">
        <v>4934</v>
      </c>
    </row>
    <row r="2967" spans="1:1">
      <c r="A2967" s="151" t="s">
        <v>4935</v>
      </c>
    </row>
    <row r="2968" spans="1:1">
      <c r="A2968" s="151" t="s">
        <v>4936</v>
      </c>
    </row>
    <row r="2969" spans="1:1">
      <c r="A2969" s="151" t="s">
        <v>4937</v>
      </c>
    </row>
    <row r="2970" spans="1:1">
      <c r="A2970" s="151" t="s">
        <v>4938</v>
      </c>
    </row>
    <row r="2971" spans="1:1">
      <c r="A2971" s="151" t="s">
        <v>4939</v>
      </c>
    </row>
    <row r="2972" spans="1:1">
      <c r="A2972" s="151" t="s">
        <v>4940</v>
      </c>
    </row>
    <row r="2973" spans="1:1">
      <c r="A2973" s="151" t="s">
        <v>4941</v>
      </c>
    </row>
    <row r="2974" spans="1:1">
      <c r="A2974" s="151" t="s">
        <v>4942</v>
      </c>
    </row>
    <row r="2975" spans="1:1">
      <c r="A2975" s="151" t="s">
        <v>4943</v>
      </c>
    </row>
    <row r="2976" spans="1:1">
      <c r="A2976" s="151" t="s">
        <v>4944</v>
      </c>
    </row>
    <row r="2977" spans="1:1">
      <c r="A2977" s="151" t="s">
        <v>4945</v>
      </c>
    </row>
    <row r="2978" spans="1:1">
      <c r="A2978" s="151" t="s">
        <v>4946</v>
      </c>
    </row>
    <row r="2979" spans="1:1">
      <c r="A2979" s="151" t="s">
        <v>4947</v>
      </c>
    </row>
    <row r="2980" spans="1:1">
      <c r="A2980" s="151" t="s">
        <v>4948</v>
      </c>
    </row>
    <row r="2981" spans="1:1">
      <c r="A2981" s="151" t="s">
        <v>4949</v>
      </c>
    </row>
    <row r="2982" spans="1:1">
      <c r="A2982" s="151" t="s">
        <v>4950</v>
      </c>
    </row>
    <row r="2983" spans="1:1">
      <c r="A2983" s="151" t="s">
        <v>4951</v>
      </c>
    </row>
    <row r="2984" spans="1:1">
      <c r="A2984" s="151" t="s">
        <v>4952</v>
      </c>
    </row>
    <row r="2985" spans="1:1">
      <c r="A2985" s="151" t="s">
        <v>4953</v>
      </c>
    </row>
    <row r="2986" spans="1:1">
      <c r="A2986" s="151" t="s">
        <v>4954</v>
      </c>
    </row>
    <row r="2987" spans="1:1">
      <c r="A2987" s="151" t="s">
        <v>4955</v>
      </c>
    </row>
    <row r="2988" spans="1:1">
      <c r="A2988" s="151" t="s">
        <v>4956</v>
      </c>
    </row>
    <row r="2989" spans="1:1">
      <c r="A2989" s="151" t="s">
        <v>4957</v>
      </c>
    </row>
    <row r="2990" spans="1:1">
      <c r="A2990" s="151" t="s">
        <v>4958</v>
      </c>
    </row>
    <row r="2991" spans="1:1">
      <c r="A2991" s="151" t="s">
        <v>4959</v>
      </c>
    </row>
    <row r="2992" spans="1:1">
      <c r="A2992" s="151" t="s">
        <v>4960</v>
      </c>
    </row>
    <row r="2993" spans="1:1">
      <c r="A2993" s="151" t="s">
        <v>4961</v>
      </c>
    </row>
    <row r="2994" spans="1:1">
      <c r="A2994" s="151" t="s">
        <v>4962</v>
      </c>
    </row>
    <row r="2995" spans="1:1">
      <c r="A2995" s="151" t="s">
        <v>4963</v>
      </c>
    </row>
    <row r="2996" spans="1:1">
      <c r="A2996" s="151" t="s">
        <v>4964</v>
      </c>
    </row>
    <row r="2997" spans="1:1">
      <c r="A2997" s="151" t="s">
        <v>4965</v>
      </c>
    </row>
    <row r="2998" spans="1:1">
      <c r="A2998" s="151" t="s">
        <v>4966</v>
      </c>
    </row>
    <row r="2999" spans="1:1">
      <c r="A2999" s="151" t="s">
        <v>4967</v>
      </c>
    </row>
    <row r="3000" spans="1:1">
      <c r="A3000" s="151" t="s">
        <v>4968</v>
      </c>
    </row>
    <row r="3001" spans="1:1">
      <c r="A3001" s="151" t="s">
        <v>4969</v>
      </c>
    </row>
    <row r="3002" spans="1:1">
      <c r="A3002" s="151" t="s">
        <v>4970</v>
      </c>
    </row>
    <row r="3003" spans="1:1">
      <c r="A3003" s="151" t="s">
        <v>4971</v>
      </c>
    </row>
    <row r="3004" spans="1:1">
      <c r="A3004" s="151" t="s">
        <v>4972</v>
      </c>
    </row>
    <row r="3005" spans="1:1">
      <c r="A3005" s="151" t="s">
        <v>4973</v>
      </c>
    </row>
    <row r="3006" spans="1:1">
      <c r="A3006" s="151" t="s">
        <v>4974</v>
      </c>
    </row>
    <row r="3007" spans="1:1">
      <c r="A3007" s="151" t="s">
        <v>4975</v>
      </c>
    </row>
    <row r="3008" spans="1:1">
      <c r="A3008" s="151" t="s">
        <v>4976</v>
      </c>
    </row>
    <row r="3009" spans="1:1">
      <c r="A3009" s="151" t="s">
        <v>4977</v>
      </c>
    </row>
    <row r="3010" spans="1:1">
      <c r="A3010" s="151" t="s">
        <v>4978</v>
      </c>
    </row>
    <row r="3011" spans="1:1">
      <c r="A3011" s="151" t="s">
        <v>4979</v>
      </c>
    </row>
    <row r="3012" spans="1:1">
      <c r="A3012" s="151" t="s">
        <v>4980</v>
      </c>
    </row>
    <row r="3013" spans="1:1">
      <c r="A3013" s="151" t="s">
        <v>4981</v>
      </c>
    </row>
    <row r="3014" spans="1:1">
      <c r="A3014" s="151" t="s">
        <v>4982</v>
      </c>
    </row>
    <row r="3015" spans="1:1">
      <c r="A3015" s="151" t="s">
        <v>4983</v>
      </c>
    </row>
    <row r="3016" spans="1:1">
      <c r="A3016" s="151" t="s">
        <v>4984</v>
      </c>
    </row>
    <row r="3017" spans="1:1">
      <c r="A3017" s="151" t="s">
        <v>4985</v>
      </c>
    </row>
    <row r="3018" spans="1:1">
      <c r="A3018" s="151" t="s">
        <v>4986</v>
      </c>
    </row>
    <row r="3019" spans="1:1">
      <c r="A3019" s="151" t="s">
        <v>4987</v>
      </c>
    </row>
    <row r="3020" spans="1:1">
      <c r="A3020" s="151" t="s">
        <v>4988</v>
      </c>
    </row>
    <row r="3021" spans="1:1">
      <c r="A3021" s="151" t="s">
        <v>4989</v>
      </c>
    </row>
    <row r="3022" spans="1:1">
      <c r="A3022" s="151" t="s">
        <v>4990</v>
      </c>
    </row>
    <row r="3023" spans="1:1">
      <c r="A3023" s="151" t="s">
        <v>4991</v>
      </c>
    </row>
    <row r="3024" spans="1:1">
      <c r="A3024" s="151" t="s">
        <v>4992</v>
      </c>
    </row>
    <row r="3025" spans="1:1">
      <c r="A3025" s="151" t="s">
        <v>4993</v>
      </c>
    </row>
    <row r="3026" spans="1:1">
      <c r="A3026" s="151" t="s">
        <v>4994</v>
      </c>
    </row>
    <row r="3027" spans="1:1">
      <c r="A3027" s="151" t="s">
        <v>4995</v>
      </c>
    </row>
    <row r="3028" spans="1:1">
      <c r="A3028" s="151" t="s">
        <v>4996</v>
      </c>
    </row>
    <row r="3029" spans="1:1">
      <c r="A3029" s="151" t="s">
        <v>4997</v>
      </c>
    </row>
    <row r="3030" spans="1:1">
      <c r="A3030" s="151" t="s">
        <v>4998</v>
      </c>
    </row>
    <row r="3031" spans="1:1">
      <c r="A3031" s="151" t="s">
        <v>4999</v>
      </c>
    </row>
    <row r="3032" spans="1:1">
      <c r="A3032" s="151" t="s">
        <v>5000</v>
      </c>
    </row>
    <row r="3033" spans="1:1">
      <c r="A3033" s="151" t="s">
        <v>5001</v>
      </c>
    </row>
    <row r="3034" spans="1:1">
      <c r="A3034" s="151" t="s">
        <v>5002</v>
      </c>
    </row>
    <row r="3035" spans="1:1">
      <c r="A3035" s="151" t="s">
        <v>5003</v>
      </c>
    </row>
    <row r="3036" spans="1:1">
      <c r="A3036" s="151" t="s">
        <v>5004</v>
      </c>
    </row>
    <row r="3037" spans="1:1">
      <c r="A3037" s="151" t="s">
        <v>5005</v>
      </c>
    </row>
    <row r="3038" spans="1:1">
      <c r="A3038" s="151" t="s">
        <v>5006</v>
      </c>
    </row>
    <row r="3039" spans="1:1">
      <c r="A3039" s="151" t="s">
        <v>5007</v>
      </c>
    </row>
    <row r="3040" spans="1:1">
      <c r="A3040" s="151" t="s">
        <v>5008</v>
      </c>
    </row>
    <row r="3041" spans="1:1">
      <c r="A3041" s="151" t="s">
        <v>5009</v>
      </c>
    </row>
    <row r="3042" spans="1:1">
      <c r="A3042" s="151" t="s">
        <v>5010</v>
      </c>
    </row>
    <row r="3043" spans="1:1">
      <c r="A3043" s="151" t="s">
        <v>5011</v>
      </c>
    </row>
    <row r="3044" spans="1:1">
      <c r="A3044" s="151" t="s">
        <v>5012</v>
      </c>
    </row>
    <row r="3045" spans="1:1">
      <c r="A3045" s="151" t="s">
        <v>5013</v>
      </c>
    </row>
    <row r="3046" spans="1:1">
      <c r="A3046" s="151" t="s">
        <v>5014</v>
      </c>
    </row>
    <row r="3047" spans="1:1">
      <c r="A3047" s="151" t="s">
        <v>5015</v>
      </c>
    </row>
    <row r="3048" spans="1:1">
      <c r="A3048" s="151" t="s">
        <v>5016</v>
      </c>
    </row>
    <row r="3049" spans="1:1">
      <c r="A3049" s="151" t="s">
        <v>5017</v>
      </c>
    </row>
    <row r="3050" spans="1:1">
      <c r="A3050" s="151" t="s">
        <v>5018</v>
      </c>
    </row>
    <row r="3051" spans="1:1">
      <c r="A3051" s="151" t="s">
        <v>5019</v>
      </c>
    </row>
    <row r="3052" spans="1:1">
      <c r="A3052" s="151" t="s">
        <v>5020</v>
      </c>
    </row>
    <row r="3053" spans="1:1">
      <c r="A3053" s="151" t="s">
        <v>5021</v>
      </c>
    </row>
    <row r="3054" spans="1:1">
      <c r="A3054" s="151" t="s">
        <v>5022</v>
      </c>
    </row>
    <row r="3055" spans="1:1">
      <c r="A3055" s="151" t="s">
        <v>5023</v>
      </c>
    </row>
    <row r="3056" spans="1:1">
      <c r="A3056" s="151" t="s">
        <v>5024</v>
      </c>
    </row>
    <row r="3057" spans="1:1">
      <c r="A3057" s="151" t="s">
        <v>5025</v>
      </c>
    </row>
    <row r="3058" spans="1:1">
      <c r="A3058" s="151" t="s">
        <v>5026</v>
      </c>
    </row>
    <row r="3059" spans="1:1">
      <c r="A3059" s="151" t="s">
        <v>5027</v>
      </c>
    </row>
    <row r="3060" spans="1:1">
      <c r="A3060" s="151" t="s">
        <v>5028</v>
      </c>
    </row>
    <row r="3061" spans="1:1">
      <c r="A3061" s="151" t="s">
        <v>5029</v>
      </c>
    </row>
    <row r="3062" spans="1:1">
      <c r="A3062" s="151" t="s">
        <v>5030</v>
      </c>
    </row>
    <row r="3063" spans="1:1">
      <c r="A3063" s="151" t="s">
        <v>5031</v>
      </c>
    </row>
    <row r="3064" spans="1:1">
      <c r="A3064" s="151" t="s">
        <v>5032</v>
      </c>
    </row>
    <row r="3065" spans="1:1">
      <c r="A3065" s="151" t="s">
        <v>5033</v>
      </c>
    </row>
    <row r="3066" spans="1:1">
      <c r="A3066" s="151" t="s">
        <v>5034</v>
      </c>
    </row>
    <row r="3067" spans="1:1">
      <c r="A3067" s="151" t="s">
        <v>5035</v>
      </c>
    </row>
    <row r="3068" spans="1:1">
      <c r="A3068" s="151" t="s">
        <v>5036</v>
      </c>
    </row>
    <row r="3069" spans="1:1">
      <c r="A3069" s="151" t="s">
        <v>5037</v>
      </c>
    </row>
    <row r="3070" spans="1:1">
      <c r="A3070" s="151" t="s">
        <v>5038</v>
      </c>
    </row>
    <row r="3071" spans="1:1">
      <c r="A3071" s="151" t="s">
        <v>5039</v>
      </c>
    </row>
    <row r="3072" spans="1:1">
      <c r="A3072" s="151" t="s">
        <v>5040</v>
      </c>
    </row>
    <row r="3073" spans="1:1">
      <c r="A3073" s="151" t="s">
        <v>5041</v>
      </c>
    </row>
    <row r="3074" spans="1:1">
      <c r="A3074" s="151" t="s">
        <v>5042</v>
      </c>
    </row>
    <row r="3075" spans="1:1">
      <c r="A3075" s="151" t="s">
        <v>5043</v>
      </c>
    </row>
    <row r="3076" spans="1:1">
      <c r="A3076" s="151" t="s">
        <v>5044</v>
      </c>
    </row>
    <row r="3077" spans="1:1">
      <c r="A3077" s="151" t="s">
        <v>5045</v>
      </c>
    </row>
    <row r="3078" spans="1:1">
      <c r="A3078" s="151" t="s">
        <v>5046</v>
      </c>
    </row>
    <row r="3079" spans="1:1">
      <c r="A3079" s="151" t="s">
        <v>5047</v>
      </c>
    </row>
    <row r="3080" spans="1:1">
      <c r="A3080" s="151" t="s">
        <v>5048</v>
      </c>
    </row>
    <row r="3081" spans="1:1">
      <c r="A3081" s="151" t="s">
        <v>5049</v>
      </c>
    </row>
    <row r="3082" spans="1:1">
      <c r="A3082" s="151" t="s">
        <v>5050</v>
      </c>
    </row>
    <row r="3083" spans="1:1">
      <c r="A3083" s="151" t="s">
        <v>5051</v>
      </c>
    </row>
    <row r="3084" spans="1:1">
      <c r="A3084" s="151" t="s">
        <v>5052</v>
      </c>
    </row>
    <row r="3085" spans="1:1">
      <c r="A3085" s="151" t="s">
        <v>5053</v>
      </c>
    </row>
    <row r="3086" spans="1:1">
      <c r="A3086" s="151" t="s">
        <v>5054</v>
      </c>
    </row>
    <row r="3087" spans="1:1">
      <c r="A3087" s="151" t="s">
        <v>5055</v>
      </c>
    </row>
    <row r="3088" spans="1:1">
      <c r="A3088" s="151" t="s">
        <v>5056</v>
      </c>
    </row>
    <row r="3089" spans="1:1">
      <c r="A3089" s="151" t="s">
        <v>5057</v>
      </c>
    </row>
    <row r="3090" spans="1:1">
      <c r="A3090" s="151" t="s">
        <v>5058</v>
      </c>
    </row>
    <row r="3091" spans="1:1">
      <c r="A3091" s="151" t="s">
        <v>5059</v>
      </c>
    </row>
    <row r="3092" spans="1:1">
      <c r="A3092" s="151" t="s">
        <v>5060</v>
      </c>
    </row>
    <row r="3093" spans="1:1">
      <c r="A3093" s="151" t="s">
        <v>5061</v>
      </c>
    </row>
    <row r="3094" spans="1:1">
      <c r="A3094" s="151" t="s">
        <v>5062</v>
      </c>
    </row>
    <row r="3095" spans="1:1">
      <c r="A3095" s="151" t="s">
        <v>5063</v>
      </c>
    </row>
    <row r="3096" spans="1:1">
      <c r="A3096" s="151" t="s">
        <v>5064</v>
      </c>
    </row>
    <row r="3097" spans="1:1">
      <c r="A3097" s="151" t="s">
        <v>5065</v>
      </c>
    </row>
    <row r="3098" spans="1:1">
      <c r="A3098" s="151" t="s">
        <v>5066</v>
      </c>
    </row>
    <row r="3099" spans="1:1">
      <c r="A3099" s="151" t="s">
        <v>5067</v>
      </c>
    </row>
    <row r="3100" spans="1:1">
      <c r="A3100" s="151" t="s">
        <v>5068</v>
      </c>
    </row>
    <row r="3101" spans="1:1">
      <c r="A3101" s="151" t="s">
        <v>5069</v>
      </c>
    </row>
    <row r="3102" spans="1:1">
      <c r="A3102" s="151" t="s">
        <v>5070</v>
      </c>
    </row>
    <row r="3103" spans="1:1">
      <c r="A3103" s="151" t="s">
        <v>5071</v>
      </c>
    </row>
    <row r="3104" spans="1:1">
      <c r="A3104" s="151" t="s">
        <v>5072</v>
      </c>
    </row>
    <row r="3105" spans="1:1">
      <c r="A3105" s="151" t="s">
        <v>5073</v>
      </c>
    </row>
    <row r="3106" spans="1:1">
      <c r="A3106" s="151" t="s">
        <v>5074</v>
      </c>
    </row>
    <row r="3107" spans="1:1">
      <c r="A3107" s="151" t="s">
        <v>5075</v>
      </c>
    </row>
    <row r="3108" spans="1:1">
      <c r="A3108" s="151" t="s">
        <v>5076</v>
      </c>
    </row>
    <row r="3109" spans="1:1">
      <c r="A3109" s="151" t="s">
        <v>5077</v>
      </c>
    </row>
    <row r="3110" spans="1:1">
      <c r="A3110" s="151" t="s">
        <v>5078</v>
      </c>
    </row>
    <row r="3111" spans="1:1">
      <c r="A3111" s="151" t="s">
        <v>5079</v>
      </c>
    </row>
    <row r="3112" spans="1:1">
      <c r="A3112" s="151" t="s">
        <v>5080</v>
      </c>
    </row>
    <row r="3113" spans="1:1">
      <c r="A3113" s="151" t="s">
        <v>5081</v>
      </c>
    </row>
    <row r="3114" spans="1:1">
      <c r="A3114" s="151" t="s">
        <v>5082</v>
      </c>
    </row>
    <row r="3115" spans="1:1">
      <c r="A3115" s="151" t="s">
        <v>5083</v>
      </c>
    </row>
    <row r="3116" spans="1:1">
      <c r="A3116" s="151" t="s">
        <v>5084</v>
      </c>
    </row>
    <row r="3117" spans="1:1">
      <c r="A3117" s="151" t="s">
        <v>5085</v>
      </c>
    </row>
    <row r="3118" spans="1:1">
      <c r="A3118" s="151" t="s">
        <v>5086</v>
      </c>
    </row>
    <row r="3119" spans="1:1">
      <c r="A3119" s="151" t="s">
        <v>5087</v>
      </c>
    </row>
    <row r="3120" spans="1:1">
      <c r="A3120" s="151" t="s">
        <v>5088</v>
      </c>
    </row>
    <row r="3121" spans="1:1">
      <c r="A3121" s="151" t="s">
        <v>5089</v>
      </c>
    </row>
    <row r="3122" spans="1:1">
      <c r="A3122" s="151" t="s">
        <v>5090</v>
      </c>
    </row>
    <row r="3123" spans="1:1">
      <c r="A3123" s="151" t="s">
        <v>5091</v>
      </c>
    </row>
    <row r="3124" spans="1:1">
      <c r="A3124" s="151" t="s">
        <v>5092</v>
      </c>
    </row>
    <row r="3125" spans="1:1">
      <c r="A3125" s="151" t="s">
        <v>5093</v>
      </c>
    </row>
    <row r="3126" spans="1:1">
      <c r="A3126" s="151" t="s">
        <v>5094</v>
      </c>
    </row>
    <row r="3127" spans="1:1">
      <c r="A3127" s="151" t="s">
        <v>5095</v>
      </c>
    </row>
    <row r="3128" spans="1:1">
      <c r="A3128" s="151" t="s">
        <v>5096</v>
      </c>
    </row>
    <row r="3129" spans="1:1">
      <c r="A3129" s="151" t="s">
        <v>5097</v>
      </c>
    </row>
    <row r="3130" spans="1:1">
      <c r="A3130" s="151" t="s">
        <v>5098</v>
      </c>
    </row>
    <row r="3131" spans="1:1">
      <c r="A3131" s="151" t="s">
        <v>5099</v>
      </c>
    </row>
    <row r="3132" spans="1:1">
      <c r="A3132" s="151" t="s">
        <v>5100</v>
      </c>
    </row>
    <row r="3133" spans="1:1">
      <c r="A3133" s="151" t="s">
        <v>5101</v>
      </c>
    </row>
    <row r="3134" spans="1:1">
      <c r="A3134" s="151" t="s">
        <v>5102</v>
      </c>
    </row>
    <row r="3135" spans="1:1">
      <c r="A3135" s="151" t="s">
        <v>5103</v>
      </c>
    </row>
    <row r="3136" spans="1:1">
      <c r="A3136" s="151" t="s">
        <v>5104</v>
      </c>
    </row>
    <row r="3137" spans="1:1">
      <c r="A3137" s="151" t="s">
        <v>5105</v>
      </c>
    </row>
    <row r="3138" spans="1:1">
      <c r="A3138" s="151" t="s">
        <v>5106</v>
      </c>
    </row>
    <row r="3139" spans="1:1">
      <c r="A3139" s="151" t="s">
        <v>5107</v>
      </c>
    </row>
    <row r="3140" spans="1:1">
      <c r="A3140" s="151" t="s">
        <v>5108</v>
      </c>
    </row>
    <row r="3141" spans="1:1">
      <c r="A3141" s="151" t="s">
        <v>5109</v>
      </c>
    </row>
    <row r="3142" spans="1:1">
      <c r="A3142" s="151" t="s">
        <v>5110</v>
      </c>
    </row>
    <row r="3143" spans="1:1">
      <c r="A3143" s="151" t="s">
        <v>5111</v>
      </c>
    </row>
    <row r="3144" spans="1:1">
      <c r="A3144" s="151" t="s">
        <v>5112</v>
      </c>
    </row>
    <row r="3145" spans="1:1">
      <c r="A3145" s="151" t="s">
        <v>5113</v>
      </c>
    </row>
    <row r="3146" spans="1:1">
      <c r="A3146" s="151" t="s">
        <v>5114</v>
      </c>
    </row>
    <row r="3147" spans="1:1">
      <c r="A3147" s="151" t="s">
        <v>5115</v>
      </c>
    </row>
    <row r="3148" spans="1:1">
      <c r="A3148" s="151" t="s">
        <v>5116</v>
      </c>
    </row>
    <row r="3149" spans="1:1">
      <c r="A3149" s="151" t="s">
        <v>5117</v>
      </c>
    </row>
    <row r="3150" spans="1:1">
      <c r="A3150" s="151" t="s">
        <v>5118</v>
      </c>
    </row>
    <row r="3151" spans="1:1">
      <c r="A3151" s="151" t="s">
        <v>5119</v>
      </c>
    </row>
    <row r="3152" spans="1:1">
      <c r="A3152" s="151" t="s">
        <v>5120</v>
      </c>
    </row>
    <row r="3153" spans="1:1">
      <c r="A3153" s="151" t="s">
        <v>5121</v>
      </c>
    </row>
    <row r="3154" spans="1:1">
      <c r="A3154" s="151" t="s">
        <v>5122</v>
      </c>
    </row>
    <row r="3155" spans="1:1">
      <c r="A3155" s="151" t="s">
        <v>5123</v>
      </c>
    </row>
    <row r="3156" spans="1:1">
      <c r="A3156" s="151" t="s">
        <v>5124</v>
      </c>
    </row>
    <row r="3157" spans="1:1">
      <c r="A3157" s="151" t="s">
        <v>5125</v>
      </c>
    </row>
    <row r="3158" spans="1:1">
      <c r="A3158" s="151" t="s">
        <v>5126</v>
      </c>
    </row>
    <row r="3159" spans="1:1">
      <c r="A3159" s="151" t="s">
        <v>5127</v>
      </c>
    </row>
    <row r="3160" spans="1:1">
      <c r="A3160" s="151" t="s">
        <v>5128</v>
      </c>
    </row>
    <row r="3161" spans="1:1">
      <c r="A3161" s="151" t="s">
        <v>5129</v>
      </c>
    </row>
    <row r="3162" spans="1:1">
      <c r="A3162" s="151" t="s">
        <v>5130</v>
      </c>
    </row>
    <row r="3163" spans="1:1">
      <c r="A3163" s="151" t="s">
        <v>5131</v>
      </c>
    </row>
    <row r="3164" spans="1:1">
      <c r="A3164" s="151" t="s">
        <v>5132</v>
      </c>
    </row>
    <row r="3165" spans="1:1">
      <c r="A3165" s="151" t="s">
        <v>5133</v>
      </c>
    </row>
    <row r="3166" spans="1:1">
      <c r="A3166" s="151" t="s">
        <v>5134</v>
      </c>
    </row>
    <row r="3167" spans="1:1">
      <c r="A3167" s="151" t="s">
        <v>5135</v>
      </c>
    </row>
    <row r="3168" spans="1:1">
      <c r="A3168" s="151" t="s">
        <v>5136</v>
      </c>
    </row>
    <row r="3169" spans="1:1">
      <c r="A3169" s="151" t="s">
        <v>5137</v>
      </c>
    </row>
    <row r="3170" spans="1:1">
      <c r="A3170" s="151" t="s">
        <v>5138</v>
      </c>
    </row>
    <row r="3171" spans="1:1">
      <c r="A3171" s="151" t="s">
        <v>5139</v>
      </c>
    </row>
    <row r="3172" spans="1:1">
      <c r="A3172" s="151" t="s">
        <v>5140</v>
      </c>
    </row>
    <row r="3173" spans="1:1">
      <c r="A3173" s="151" t="s">
        <v>5141</v>
      </c>
    </row>
    <row r="3174" spans="1:1">
      <c r="A3174" s="151" t="s">
        <v>5142</v>
      </c>
    </row>
    <row r="3175" spans="1:1">
      <c r="A3175" s="151" t="s">
        <v>5143</v>
      </c>
    </row>
    <row r="3176" spans="1:1">
      <c r="A3176" s="151" t="s">
        <v>5144</v>
      </c>
    </row>
    <row r="3177" spans="1:1">
      <c r="A3177" s="151" t="s">
        <v>5145</v>
      </c>
    </row>
    <row r="3178" spans="1:1">
      <c r="A3178" s="151" t="s">
        <v>5146</v>
      </c>
    </row>
    <row r="3179" spans="1:1">
      <c r="A3179" s="151" t="s">
        <v>5147</v>
      </c>
    </row>
    <row r="3180" spans="1:1">
      <c r="A3180" s="151" t="s">
        <v>5148</v>
      </c>
    </row>
    <row r="3181" spans="1:1">
      <c r="A3181" s="151" t="s">
        <v>5149</v>
      </c>
    </row>
    <row r="3182" spans="1:1">
      <c r="A3182" s="151" t="s">
        <v>5150</v>
      </c>
    </row>
    <row r="3183" spans="1:1">
      <c r="A3183" s="151" t="s">
        <v>5151</v>
      </c>
    </row>
    <row r="3184" spans="1:1">
      <c r="A3184" s="151" t="s">
        <v>5152</v>
      </c>
    </row>
    <row r="3185" spans="1:1">
      <c r="A3185" s="151" t="s">
        <v>5153</v>
      </c>
    </row>
    <row r="3186" spans="1:1">
      <c r="A3186" s="151" t="s">
        <v>5154</v>
      </c>
    </row>
    <row r="3187" spans="1:1">
      <c r="A3187" s="151" t="s">
        <v>5155</v>
      </c>
    </row>
    <row r="3188" spans="1:1">
      <c r="A3188" s="151" t="s">
        <v>5156</v>
      </c>
    </row>
    <row r="3189" spans="1:1">
      <c r="A3189" s="151" t="s">
        <v>5157</v>
      </c>
    </row>
    <row r="3190" spans="1:1">
      <c r="A3190" s="151" t="s">
        <v>5158</v>
      </c>
    </row>
    <row r="3191" spans="1:1">
      <c r="A3191" s="151" t="s">
        <v>5159</v>
      </c>
    </row>
    <row r="3192" spans="1:1">
      <c r="A3192" s="151" t="s">
        <v>5160</v>
      </c>
    </row>
    <row r="3193" spans="1:1">
      <c r="A3193" s="151" t="s">
        <v>5161</v>
      </c>
    </row>
    <row r="3194" spans="1:1">
      <c r="A3194" s="151" t="s">
        <v>5162</v>
      </c>
    </row>
    <row r="3195" spans="1:1">
      <c r="A3195" s="151" t="s">
        <v>5163</v>
      </c>
    </row>
    <row r="3196" spans="1:1">
      <c r="A3196" s="151" t="s">
        <v>5164</v>
      </c>
    </row>
    <row r="3197" spans="1:1">
      <c r="A3197" s="151" t="s">
        <v>5165</v>
      </c>
    </row>
    <row r="3198" spans="1:1">
      <c r="A3198" s="151" t="s">
        <v>5166</v>
      </c>
    </row>
    <row r="3199" spans="1:1">
      <c r="A3199" s="151" t="s">
        <v>5167</v>
      </c>
    </row>
    <row r="3200" spans="1:1">
      <c r="A3200" s="151" t="s">
        <v>5168</v>
      </c>
    </row>
    <row r="3201" spans="1:1">
      <c r="A3201" s="151" t="s">
        <v>5169</v>
      </c>
    </row>
    <row r="3202" spans="1:1">
      <c r="A3202" s="151" t="s">
        <v>5170</v>
      </c>
    </row>
    <row r="3203" spans="1:1">
      <c r="A3203" s="151" t="s">
        <v>5171</v>
      </c>
    </row>
    <row r="3204" spans="1:1">
      <c r="A3204" s="151" t="s">
        <v>5172</v>
      </c>
    </row>
    <row r="3205" spans="1:1">
      <c r="A3205" s="151" t="s">
        <v>5173</v>
      </c>
    </row>
    <row r="3206" spans="1:1">
      <c r="A3206" s="151" t="s">
        <v>5174</v>
      </c>
    </row>
    <row r="3207" spans="1:1">
      <c r="A3207" s="151" t="s">
        <v>5175</v>
      </c>
    </row>
    <row r="3208" spans="1:1">
      <c r="A3208" s="151" t="s">
        <v>5176</v>
      </c>
    </row>
    <row r="3209" spans="1:1">
      <c r="A3209" s="151" t="s">
        <v>5177</v>
      </c>
    </row>
    <row r="3210" spans="1:1">
      <c r="A3210" s="151" t="s">
        <v>5178</v>
      </c>
    </row>
    <row r="3211" spans="1:1">
      <c r="A3211" s="151" t="s">
        <v>5179</v>
      </c>
    </row>
    <row r="3212" spans="1:1">
      <c r="A3212" s="151" t="s">
        <v>5180</v>
      </c>
    </row>
    <row r="3213" spans="1:1">
      <c r="A3213" s="151" t="s">
        <v>5181</v>
      </c>
    </row>
    <row r="3214" spans="1:1">
      <c r="A3214" s="151" t="s">
        <v>5182</v>
      </c>
    </row>
    <row r="3215" spans="1:1">
      <c r="A3215" s="151" t="s">
        <v>5183</v>
      </c>
    </row>
    <row r="3216" spans="1:1">
      <c r="A3216" s="151" t="s">
        <v>5184</v>
      </c>
    </row>
    <row r="3217" spans="1:1">
      <c r="A3217" s="151" t="s">
        <v>5185</v>
      </c>
    </row>
    <row r="3218" spans="1:1">
      <c r="A3218" s="151" t="s">
        <v>5186</v>
      </c>
    </row>
    <row r="3219" spans="1:1">
      <c r="A3219" s="151" t="s">
        <v>5187</v>
      </c>
    </row>
    <row r="3220" spans="1:1">
      <c r="A3220" s="151" t="s">
        <v>5188</v>
      </c>
    </row>
    <row r="3221" spans="1:1">
      <c r="A3221" s="151" t="s">
        <v>5189</v>
      </c>
    </row>
    <row r="3222" spans="1:1">
      <c r="A3222" s="151" t="s">
        <v>5190</v>
      </c>
    </row>
    <row r="3223" spans="1:1">
      <c r="A3223" s="151" t="s">
        <v>5191</v>
      </c>
    </row>
    <row r="3224" spans="1:1">
      <c r="A3224" s="151" t="s">
        <v>5192</v>
      </c>
    </row>
    <row r="3225" spans="1:1">
      <c r="A3225" s="151" t="s">
        <v>5193</v>
      </c>
    </row>
    <row r="3226" spans="1:1">
      <c r="A3226" s="151" t="s">
        <v>5194</v>
      </c>
    </row>
    <row r="3227" spans="1:1">
      <c r="A3227" s="151" t="s">
        <v>5195</v>
      </c>
    </row>
    <row r="3228" spans="1:1">
      <c r="A3228" s="151" t="s">
        <v>5196</v>
      </c>
    </row>
    <row r="3229" spans="1:1">
      <c r="A3229" s="151" t="s">
        <v>5197</v>
      </c>
    </row>
    <row r="3230" spans="1:1">
      <c r="A3230" s="151" t="s">
        <v>5198</v>
      </c>
    </row>
    <row r="3231" spans="1:1">
      <c r="A3231" s="151" t="s">
        <v>5199</v>
      </c>
    </row>
    <row r="3232" spans="1:1">
      <c r="A3232" s="151" t="s">
        <v>5200</v>
      </c>
    </row>
    <row r="3233" spans="1:1">
      <c r="A3233" s="151" t="s">
        <v>5201</v>
      </c>
    </row>
    <row r="3234" spans="1:1">
      <c r="A3234" s="151" t="s">
        <v>5202</v>
      </c>
    </row>
    <row r="3235" spans="1:1">
      <c r="A3235" s="151" t="s">
        <v>5203</v>
      </c>
    </row>
    <row r="3236" spans="1:1">
      <c r="A3236" s="151" t="s">
        <v>5204</v>
      </c>
    </row>
    <row r="3237" spans="1:1">
      <c r="A3237" s="151" t="s">
        <v>5205</v>
      </c>
    </row>
    <row r="3238" spans="1:1">
      <c r="A3238" s="151" t="s">
        <v>5206</v>
      </c>
    </row>
    <row r="3239" spans="1:1">
      <c r="A3239" s="151" t="s">
        <v>5207</v>
      </c>
    </row>
    <row r="3240" spans="1:1">
      <c r="A3240" s="151" t="s">
        <v>5208</v>
      </c>
    </row>
    <row r="3241" spans="1:1">
      <c r="A3241" s="151" t="s">
        <v>5209</v>
      </c>
    </row>
    <row r="3242" spans="1:1">
      <c r="A3242" s="151" t="s">
        <v>5210</v>
      </c>
    </row>
    <row r="3243" spans="1:1">
      <c r="A3243" s="151" t="s">
        <v>5211</v>
      </c>
    </row>
    <row r="3244" spans="1:1">
      <c r="A3244" s="151" t="s">
        <v>5212</v>
      </c>
    </row>
    <row r="3245" spans="1:1">
      <c r="A3245" s="151" t="s">
        <v>5213</v>
      </c>
    </row>
    <row r="3246" spans="1:1">
      <c r="A3246" s="151" t="s">
        <v>5214</v>
      </c>
    </row>
    <row r="3247" spans="1:1">
      <c r="A3247" s="151" t="s">
        <v>5215</v>
      </c>
    </row>
    <row r="3248" spans="1:1">
      <c r="A3248" s="151" t="s">
        <v>5216</v>
      </c>
    </row>
    <row r="3249" spans="1:1">
      <c r="A3249" s="151" t="s">
        <v>5217</v>
      </c>
    </row>
    <row r="3250" spans="1:1">
      <c r="A3250" s="151" t="s">
        <v>5218</v>
      </c>
    </row>
    <row r="3251" spans="1:1">
      <c r="A3251" s="151" t="s">
        <v>5219</v>
      </c>
    </row>
    <row r="3252" spans="1:1">
      <c r="A3252" s="151" t="s">
        <v>5220</v>
      </c>
    </row>
    <row r="3253" spans="1:1">
      <c r="A3253" s="151" t="s">
        <v>5221</v>
      </c>
    </row>
    <row r="3254" spans="1:1">
      <c r="A3254" s="151" t="s">
        <v>5222</v>
      </c>
    </row>
    <row r="3255" spans="1:1">
      <c r="A3255" s="151" t="s">
        <v>5223</v>
      </c>
    </row>
    <row r="3256" spans="1:1">
      <c r="A3256" s="151" t="s">
        <v>5224</v>
      </c>
    </row>
    <row r="3257" spans="1:1">
      <c r="A3257" s="151" t="s">
        <v>5225</v>
      </c>
    </row>
    <row r="3258" spans="1:1">
      <c r="A3258" s="151" t="s">
        <v>5226</v>
      </c>
    </row>
    <row r="3259" spans="1:1">
      <c r="A3259" s="151" t="s">
        <v>5227</v>
      </c>
    </row>
    <row r="3260" spans="1:1">
      <c r="A3260" s="151" t="s">
        <v>5228</v>
      </c>
    </row>
    <row r="3261" spans="1:1">
      <c r="A3261" s="151" t="s">
        <v>5229</v>
      </c>
    </row>
    <row r="3262" spans="1:1">
      <c r="A3262" s="151" t="s">
        <v>5230</v>
      </c>
    </row>
    <row r="3263" spans="1:1">
      <c r="A3263" s="151" t="s">
        <v>5231</v>
      </c>
    </row>
    <row r="3264" spans="1:1">
      <c r="A3264" s="151" t="s">
        <v>5232</v>
      </c>
    </row>
    <row r="3265" spans="1:1">
      <c r="A3265" s="151" t="s">
        <v>5233</v>
      </c>
    </row>
    <row r="3266" spans="1:1">
      <c r="A3266" s="151" t="s">
        <v>5234</v>
      </c>
    </row>
    <row r="3267" spans="1:1">
      <c r="A3267" s="151" t="s">
        <v>5235</v>
      </c>
    </row>
    <row r="3268" spans="1:1">
      <c r="A3268" s="151" t="s">
        <v>5236</v>
      </c>
    </row>
    <row r="3269" spans="1:1">
      <c r="A3269" s="151" t="s">
        <v>5237</v>
      </c>
    </row>
    <row r="3270" spans="1:1">
      <c r="A3270" s="151" t="s">
        <v>5238</v>
      </c>
    </row>
    <row r="3271" spans="1:1">
      <c r="A3271" s="151" t="s">
        <v>5239</v>
      </c>
    </row>
    <row r="3272" spans="1:1">
      <c r="A3272" s="151" t="s">
        <v>5240</v>
      </c>
    </row>
    <row r="3273" spans="1:1">
      <c r="A3273" s="151" t="s">
        <v>5241</v>
      </c>
    </row>
    <row r="3274" spans="1:1">
      <c r="A3274" s="151" t="s">
        <v>5242</v>
      </c>
    </row>
    <row r="3275" spans="1:1">
      <c r="A3275" s="151" t="s">
        <v>5243</v>
      </c>
    </row>
    <row r="3276" spans="1:1">
      <c r="A3276" s="151" t="s">
        <v>5244</v>
      </c>
    </row>
    <row r="3277" spans="1:1">
      <c r="A3277" s="151" t="s">
        <v>5245</v>
      </c>
    </row>
    <row r="3278" spans="1:1">
      <c r="A3278" s="151" t="s">
        <v>5246</v>
      </c>
    </row>
    <row r="3279" spans="1:1">
      <c r="A3279" s="151" t="s">
        <v>5247</v>
      </c>
    </row>
    <row r="3280" spans="1:1">
      <c r="A3280" s="151" t="s">
        <v>5248</v>
      </c>
    </row>
    <row r="3281" spans="1:1">
      <c r="A3281" s="151" t="s">
        <v>5249</v>
      </c>
    </row>
    <row r="3282" spans="1:1">
      <c r="A3282" s="151" t="s">
        <v>5250</v>
      </c>
    </row>
    <row r="3283" spans="1:1">
      <c r="A3283" s="151" t="s">
        <v>5251</v>
      </c>
    </row>
    <row r="3284" spans="1:1">
      <c r="A3284" s="151" t="s">
        <v>5252</v>
      </c>
    </row>
    <row r="3285" spans="1:1">
      <c r="A3285" s="151" t="s">
        <v>5253</v>
      </c>
    </row>
    <row r="3286" spans="1:1">
      <c r="A3286" s="151" t="s">
        <v>5254</v>
      </c>
    </row>
    <row r="3287" spans="1:1">
      <c r="A3287" s="151" t="s">
        <v>5255</v>
      </c>
    </row>
    <row r="3288" spans="1:1">
      <c r="A3288" s="151" t="s">
        <v>5256</v>
      </c>
    </row>
    <row r="3289" spans="1:1">
      <c r="A3289" s="151" t="s">
        <v>5257</v>
      </c>
    </row>
    <row r="3290" spans="1:1">
      <c r="A3290" s="151" t="s">
        <v>5258</v>
      </c>
    </row>
    <row r="3291" spans="1:1">
      <c r="A3291" s="151" t="s">
        <v>5259</v>
      </c>
    </row>
    <row r="3292" spans="1:1">
      <c r="A3292" s="151" t="s">
        <v>5260</v>
      </c>
    </row>
    <row r="3293" spans="1:1">
      <c r="A3293" s="151" t="s">
        <v>5261</v>
      </c>
    </row>
    <row r="3294" spans="1:1">
      <c r="A3294" s="151" t="s">
        <v>5262</v>
      </c>
    </row>
    <row r="3295" spans="1:1">
      <c r="A3295" s="151" t="s">
        <v>5263</v>
      </c>
    </row>
    <row r="3296" spans="1:1">
      <c r="A3296" s="151" t="s">
        <v>5264</v>
      </c>
    </row>
    <row r="3297" spans="1:1">
      <c r="A3297" s="151" t="s">
        <v>5265</v>
      </c>
    </row>
    <row r="3298" spans="1:1">
      <c r="A3298" s="151" t="s">
        <v>5266</v>
      </c>
    </row>
    <row r="3299" spans="1:1">
      <c r="A3299" s="151" t="s">
        <v>5267</v>
      </c>
    </row>
    <row r="3300" spans="1:1">
      <c r="A3300" s="151" t="s">
        <v>5268</v>
      </c>
    </row>
    <row r="3301" spans="1:1">
      <c r="A3301" s="151" t="s">
        <v>5269</v>
      </c>
    </row>
    <row r="3302" spans="1:1">
      <c r="A3302" s="151" t="s">
        <v>5270</v>
      </c>
    </row>
    <row r="3303" spans="1:1">
      <c r="A3303" s="151" t="s">
        <v>5271</v>
      </c>
    </row>
    <row r="3304" spans="1:1">
      <c r="A3304" s="151" t="s">
        <v>5272</v>
      </c>
    </row>
    <row r="3305" spans="1:1">
      <c r="A3305" s="151" t="s">
        <v>5273</v>
      </c>
    </row>
    <row r="3306" spans="1:1">
      <c r="A3306" s="151" t="s">
        <v>5274</v>
      </c>
    </row>
    <row r="3307" spans="1:1">
      <c r="A3307" s="151" t="s">
        <v>5275</v>
      </c>
    </row>
    <row r="3308" spans="1:1">
      <c r="A3308" s="151" t="s">
        <v>5276</v>
      </c>
    </row>
    <row r="3309" spans="1:1">
      <c r="A3309" s="151" t="s">
        <v>5277</v>
      </c>
    </row>
    <row r="3310" spans="1:1">
      <c r="A3310" s="151" t="s">
        <v>5278</v>
      </c>
    </row>
    <row r="3311" spans="1:1">
      <c r="A3311" s="151" t="s">
        <v>5279</v>
      </c>
    </row>
    <row r="3312" spans="1:1">
      <c r="A3312" s="151" t="s">
        <v>5280</v>
      </c>
    </row>
    <row r="3313" spans="1:1">
      <c r="A3313" s="151" t="s">
        <v>5281</v>
      </c>
    </row>
    <row r="3314" spans="1:1">
      <c r="A3314" s="151" t="s">
        <v>5282</v>
      </c>
    </row>
    <row r="3315" spans="1:1">
      <c r="A3315" s="151" t="s">
        <v>5283</v>
      </c>
    </row>
    <row r="3316" spans="1:1">
      <c r="A3316" s="151" t="s">
        <v>5284</v>
      </c>
    </row>
    <row r="3317" spans="1:1">
      <c r="A3317" s="151" t="s">
        <v>5285</v>
      </c>
    </row>
    <row r="3318" spans="1:1">
      <c r="A3318" s="151" t="s">
        <v>5286</v>
      </c>
    </row>
    <row r="3319" spans="1:1">
      <c r="A3319" s="151" t="s">
        <v>5287</v>
      </c>
    </row>
    <row r="3320" spans="1:1">
      <c r="A3320" s="151" t="s">
        <v>5288</v>
      </c>
    </row>
    <row r="3321" spans="1:1">
      <c r="A3321" s="151" t="s">
        <v>5289</v>
      </c>
    </row>
    <row r="3322" spans="1:1">
      <c r="A3322" s="151" t="s">
        <v>5290</v>
      </c>
    </row>
    <row r="3323" spans="1:1">
      <c r="A3323" s="151" t="s">
        <v>5291</v>
      </c>
    </row>
    <row r="3324" spans="1:1">
      <c r="A3324" s="151" t="s">
        <v>5292</v>
      </c>
    </row>
    <row r="3325" spans="1:1">
      <c r="A3325" s="151" t="s">
        <v>5293</v>
      </c>
    </row>
    <row r="3326" spans="1:1">
      <c r="A3326" s="151" t="s">
        <v>5294</v>
      </c>
    </row>
    <row r="3327" spans="1:1">
      <c r="A3327" s="151" t="s">
        <v>5295</v>
      </c>
    </row>
    <row r="3328" spans="1:1">
      <c r="A3328" s="151" t="s">
        <v>5296</v>
      </c>
    </row>
    <row r="3329" spans="1:1">
      <c r="A3329" s="151" t="s">
        <v>5297</v>
      </c>
    </row>
    <row r="3330" spans="1:1">
      <c r="A3330" s="151" t="s">
        <v>5298</v>
      </c>
    </row>
    <row r="3331" spans="1:1">
      <c r="A3331" s="151" t="s">
        <v>5299</v>
      </c>
    </row>
    <row r="3332" spans="1:1">
      <c r="A3332" s="151" t="s">
        <v>5300</v>
      </c>
    </row>
    <row r="3333" spans="1:1">
      <c r="A3333" s="151" t="s">
        <v>5301</v>
      </c>
    </row>
    <row r="3334" spans="1:1">
      <c r="A3334" s="151" t="s">
        <v>5302</v>
      </c>
    </row>
    <row r="3335" spans="1:1">
      <c r="A3335" s="151" t="s">
        <v>5303</v>
      </c>
    </row>
    <row r="3336" spans="1:1">
      <c r="A3336" s="151" t="s">
        <v>5304</v>
      </c>
    </row>
    <row r="3337" spans="1:1">
      <c r="A3337" s="151" t="s">
        <v>5305</v>
      </c>
    </row>
    <row r="3338" spans="1:1">
      <c r="A3338" s="151" t="s">
        <v>5306</v>
      </c>
    </row>
    <row r="3339" spans="1:1">
      <c r="A3339" s="151" t="s">
        <v>5307</v>
      </c>
    </row>
    <row r="3340" spans="1:1">
      <c r="A3340" s="151" t="s">
        <v>5308</v>
      </c>
    </row>
    <row r="3341" spans="1:1">
      <c r="A3341" s="151" t="s">
        <v>5309</v>
      </c>
    </row>
    <row r="3342" spans="1:1">
      <c r="A3342" s="151" t="s">
        <v>5310</v>
      </c>
    </row>
    <row r="3343" spans="1:1">
      <c r="A3343" s="151" t="s">
        <v>5311</v>
      </c>
    </row>
    <row r="3344" spans="1:1">
      <c r="A3344" s="151" t="s">
        <v>5312</v>
      </c>
    </row>
    <row r="3345" spans="1:1">
      <c r="A3345" s="151" t="s">
        <v>5313</v>
      </c>
    </row>
    <row r="3346" spans="1:1">
      <c r="A3346" s="151" t="s">
        <v>5314</v>
      </c>
    </row>
    <row r="3347" spans="1:1">
      <c r="A3347" s="151" t="s">
        <v>5315</v>
      </c>
    </row>
    <row r="3348" spans="1:1">
      <c r="A3348" s="151" t="s">
        <v>5316</v>
      </c>
    </row>
    <row r="3349" spans="1:1">
      <c r="A3349" s="151" t="s">
        <v>5317</v>
      </c>
    </row>
    <row r="3350" spans="1:1">
      <c r="A3350" s="151" t="s">
        <v>5318</v>
      </c>
    </row>
    <row r="3351" spans="1:1">
      <c r="A3351" s="151" t="s">
        <v>5319</v>
      </c>
    </row>
    <row r="3352" spans="1:1">
      <c r="A3352" s="151" t="s">
        <v>5320</v>
      </c>
    </row>
    <row r="3353" spans="1:1">
      <c r="A3353" s="151" t="s">
        <v>5321</v>
      </c>
    </row>
    <row r="3354" spans="1:1">
      <c r="A3354" s="151" t="s">
        <v>5322</v>
      </c>
    </row>
    <row r="3355" spans="1:1">
      <c r="A3355" s="151" t="s">
        <v>5323</v>
      </c>
    </row>
    <row r="3356" spans="1:1">
      <c r="A3356" s="151" t="s">
        <v>5324</v>
      </c>
    </row>
    <row r="3357" spans="1:1">
      <c r="A3357" s="151" t="s">
        <v>5325</v>
      </c>
    </row>
    <row r="3358" spans="1:1">
      <c r="A3358" s="151" t="s">
        <v>5326</v>
      </c>
    </row>
    <row r="3359" spans="1:1">
      <c r="A3359" s="151" t="s">
        <v>5327</v>
      </c>
    </row>
    <row r="3360" spans="1:1">
      <c r="A3360" s="151" t="s">
        <v>5328</v>
      </c>
    </row>
    <row r="3361" spans="1:1">
      <c r="A3361" s="151" t="s">
        <v>5329</v>
      </c>
    </row>
    <row r="3362" spans="1:1">
      <c r="A3362" s="151" t="s">
        <v>5330</v>
      </c>
    </row>
    <row r="3363" spans="1:1">
      <c r="A3363" s="151" t="s">
        <v>5331</v>
      </c>
    </row>
    <row r="3364" spans="1:1">
      <c r="A3364" s="151" t="s">
        <v>5332</v>
      </c>
    </row>
    <row r="3365" spans="1:1">
      <c r="A3365" s="151" t="s">
        <v>5333</v>
      </c>
    </row>
    <row r="3366" spans="1:1">
      <c r="A3366" s="151" t="s">
        <v>5334</v>
      </c>
    </row>
    <row r="3367" spans="1:1">
      <c r="A3367" s="151" t="s">
        <v>5335</v>
      </c>
    </row>
    <row r="3368" spans="1:1">
      <c r="A3368" s="151" t="s">
        <v>5336</v>
      </c>
    </row>
    <row r="3369" spans="1:1">
      <c r="A3369" s="151" t="s">
        <v>5337</v>
      </c>
    </row>
    <row r="3370" spans="1:1">
      <c r="A3370" s="151" t="s">
        <v>5338</v>
      </c>
    </row>
    <row r="3371" spans="1:1">
      <c r="A3371" s="151" t="s">
        <v>5339</v>
      </c>
    </row>
    <row r="3372" spans="1:1">
      <c r="A3372" s="151" t="s">
        <v>5340</v>
      </c>
    </row>
    <row r="3373" spans="1:1">
      <c r="A3373" s="151" t="s">
        <v>5341</v>
      </c>
    </row>
    <row r="3374" spans="1:1">
      <c r="A3374" s="151" t="s">
        <v>5342</v>
      </c>
    </row>
    <row r="3375" spans="1:1">
      <c r="A3375" s="151" t="s">
        <v>5343</v>
      </c>
    </row>
    <row r="3376" spans="1:1">
      <c r="A3376" s="151" t="s">
        <v>5344</v>
      </c>
    </row>
    <row r="3377" spans="1:1">
      <c r="A3377" s="151" t="s">
        <v>5345</v>
      </c>
    </row>
    <row r="3378" spans="1:1">
      <c r="A3378" s="151" t="s">
        <v>5346</v>
      </c>
    </row>
    <row r="3379" spans="1:1">
      <c r="A3379" s="151" t="s">
        <v>5347</v>
      </c>
    </row>
    <row r="3380" spans="1:1">
      <c r="A3380" s="151" t="s">
        <v>5348</v>
      </c>
    </row>
    <row r="3381" spans="1:1">
      <c r="A3381" s="151" t="s">
        <v>5349</v>
      </c>
    </row>
    <row r="3382" spans="1:1">
      <c r="A3382" s="151" t="s">
        <v>5350</v>
      </c>
    </row>
    <row r="3383" spans="1:1">
      <c r="A3383" s="151" t="s">
        <v>5351</v>
      </c>
    </row>
    <row r="3384" spans="1:1">
      <c r="A3384" s="151" t="s">
        <v>5352</v>
      </c>
    </row>
    <row r="3385" spans="1:1">
      <c r="A3385" s="151" t="s">
        <v>5353</v>
      </c>
    </row>
    <row r="3386" spans="1:1">
      <c r="A3386" s="151" t="s">
        <v>5354</v>
      </c>
    </row>
    <row r="3387" spans="1:1">
      <c r="A3387" s="151" t="s">
        <v>5355</v>
      </c>
    </row>
    <row r="3388" spans="1:1">
      <c r="A3388" s="151" t="s">
        <v>5356</v>
      </c>
    </row>
    <row r="3389" spans="1:1">
      <c r="A3389" s="151" t="s">
        <v>5357</v>
      </c>
    </row>
    <row r="3390" spans="1:1">
      <c r="A3390" s="151" t="s">
        <v>5358</v>
      </c>
    </row>
    <row r="3391" spans="1:1">
      <c r="A3391" s="151" t="s">
        <v>5359</v>
      </c>
    </row>
    <row r="3392" spans="1:1">
      <c r="A3392" s="151" t="s">
        <v>5360</v>
      </c>
    </row>
    <row r="3393" spans="1:1">
      <c r="A3393" s="151" t="s">
        <v>5361</v>
      </c>
    </row>
    <row r="3394" spans="1:1">
      <c r="A3394" s="151" t="s">
        <v>5362</v>
      </c>
    </row>
    <row r="3395" spans="1:1">
      <c r="A3395" s="151" t="s">
        <v>5363</v>
      </c>
    </row>
    <row r="3396" spans="1:1">
      <c r="A3396" s="151" t="s">
        <v>5364</v>
      </c>
    </row>
    <row r="3397" spans="1:1">
      <c r="A3397" s="151" t="s">
        <v>5365</v>
      </c>
    </row>
    <row r="3398" spans="1:1">
      <c r="A3398" s="151" t="s">
        <v>5366</v>
      </c>
    </row>
    <row r="3399" spans="1:1">
      <c r="A3399" s="151" t="s">
        <v>5367</v>
      </c>
    </row>
    <row r="3400" spans="1:1">
      <c r="A3400" s="151" t="s">
        <v>5368</v>
      </c>
    </row>
    <row r="3401" spans="1:1">
      <c r="A3401" s="151" t="s">
        <v>5369</v>
      </c>
    </row>
    <row r="3402" spans="1:1">
      <c r="A3402" s="151" t="s">
        <v>5370</v>
      </c>
    </row>
    <row r="3403" spans="1:1">
      <c r="A3403" s="151" t="s">
        <v>5371</v>
      </c>
    </row>
    <row r="3404" spans="1:1">
      <c r="A3404" s="151" t="s">
        <v>5372</v>
      </c>
    </row>
    <row r="3405" spans="1:1">
      <c r="A3405" s="151" t="s">
        <v>5373</v>
      </c>
    </row>
    <row r="3406" spans="1:1">
      <c r="A3406" s="151" t="s">
        <v>5374</v>
      </c>
    </row>
    <row r="3407" spans="1:1">
      <c r="A3407" s="151" t="s">
        <v>5375</v>
      </c>
    </row>
    <row r="3408" spans="1:1">
      <c r="A3408" s="151" t="s">
        <v>5376</v>
      </c>
    </row>
    <row r="3409" spans="1:1">
      <c r="A3409" s="151" t="s">
        <v>5377</v>
      </c>
    </row>
    <row r="3410" spans="1:1">
      <c r="A3410" s="151" t="s">
        <v>5378</v>
      </c>
    </row>
    <row r="3411" spans="1:1">
      <c r="A3411" s="151" t="s">
        <v>5379</v>
      </c>
    </row>
    <row r="3412" spans="1:1">
      <c r="A3412" s="151" t="s">
        <v>5380</v>
      </c>
    </row>
    <row r="3413" spans="1:1">
      <c r="A3413" s="151" t="s">
        <v>5381</v>
      </c>
    </row>
    <row r="3414" spans="1:1">
      <c r="A3414" s="151" t="s">
        <v>5382</v>
      </c>
    </row>
    <row r="3415" spans="1:1">
      <c r="A3415" s="151" t="s">
        <v>5383</v>
      </c>
    </row>
    <row r="3416" spans="1:1">
      <c r="A3416" s="151" t="s">
        <v>5384</v>
      </c>
    </row>
    <row r="3417" spans="1:1">
      <c r="A3417" s="151" t="s">
        <v>5385</v>
      </c>
    </row>
    <row r="3418" spans="1:1">
      <c r="A3418" s="151" t="s">
        <v>5386</v>
      </c>
    </row>
    <row r="3419" spans="1:1">
      <c r="A3419" s="151" t="s">
        <v>5387</v>
      </c>
    </row>
    <row r="3420" spans="1:1">
      <c r="A3420" s="151" t="s">
        <v>5388</v>
      </c>
    </row>
    <row r="3421" spans="1:1">
      <c r="A3421" s="151" t="s">
        <v>5389</v>
      </c>
    </row>
    <row r="3422" spans="1:1">
      <c r="A3422" s="151" t="s">
        <v>5390</v>
      </c>
    </row>
    <row r="3423" spans="1:1">
      <c r="A3423" s="151" t="s">
        <v>5391</v>
      </c>
    </row>
    <row r="3424" spans="1:1">
      <c r="A3424" s="151" t="s">
        <v>5392</v>
      </c>
    </row>
    <row r="3425" spans="1:1">
      <c r="A3425" s="151" t="s">
        <v>5393</v>
      </c>
    </row>
    <row r="3426" spans="1:1">
      <c r="A3426" s="151" t="s">
        <v>5394</v>
      </c>
    </row>
    <row r="3427" spans="1:1">
      <c r="A3427" s="151" t="s">
        <v>5395</v>
      </c>
    </row>
    <row r="3428" spans="1:1">
      <c r="A3428" s="151" t="s">
        <v>5396</v>
      </c>
    </row>
    <row r="3429" spans="1:1">
      <c r="A3429" s="151" t="s">
        <v>5397</v>
      </c>
    </row>
    <row r="3430" spans="1:1">
      <c r="A3430" s="151" t="s">
        <v>5398</v>
      </c>
    </row>
    <row r="3431" spans="1:1">
      <c r="A3431" s="151" t="s">
        <v>5399</v>
      </c>
    </row>
    <row r="3432" spans="1:1">
      <c r="A3432" s="151" t="s">
        <v>5400</v>
      </c>
    </row>
    <row r="3433" spans="1:1">
      <c r="A3433" s="151" t="s">
        <v>5401</v>
      </c>
    </row>
    <row r="3434" spans="1:1">
      <c r="A3434" s="151" t="s">
        <v>5402</v>
      </c>
    </row>
    <row r="3435" spans="1:1">
      <c r="A3435" s="151" t="s">
        <v>5403</v>
      </c>
    </row>
    <row r="3436" spans="1:1">
      <c r="A3436" s="151" t="s">
        <v>5404</v>
      </c>
    </row>
    <row r="3437" spans="1:1">
      <c r="A3437" s="151" t="s">
        <v>5405</v>
      </c>
    </row>
    <row r="3438" spans="1:1">
      <c r="A3438" s="151" t="s">
        <v>5406</v>
      </c>
    </row>
    <row r="3439" spans="1:1">
      <c r="A3439" s="151" t="s">
        <v>5407</v>
      </c>
    </row>
    <row r="3440" spans="1:1">
      <c r="A3440" s="151" t="s">
        <v>5408</v>
      </c>
    </row>
    <row r="3441" spans="1:1">
      <c r="A3441" s="151" t="s">
        <v>5409</v>
      </c>
    </row>
    <row r="3442" spans="1:1">
      <c r="A3442" s="151" t="s">
        <v>5410</v>
      </c>
    </row>
    <row r="3443" spans="1:1">
      <c r="A3443" s="151" t="s">
        <v>5411</v>
      </c>
    </row>
    <row r="3444" spans="1:1">
      <c r="A3444" s="151" t="s">
        <v>5412</v>
      </c>
    </row>
    <row r="3445" spans="1:1">
      <c r="A3445" s="151" t="s">
        <v>5413</v>
      </c>
    </row>
    <row r="3446" spans="1:1">
      <c r="A3446" s="151" t="s">
        <v>5414</v>
      </c>
    </row>
    <row r="3447" spans="1:1">
      <c r="A3447" s="151" t="s">
        <v>5415</v>
      </c>
    </row>
    <row r="3448" spans="1:1">
      <c r="A3448" s="151" t="s">
        <v>5416</v>
      </c>
    </row>
    <row r="3449" spans="1:1">
      <c r="A3449" s="151" t="s">
        <v>5417</v>
      </c>
    </row>
    <row r="3450" spans="1:1">
      <c r="A3450" s="151" t="s">
        <v>5418</v>
      </c>
    </row>
    <row r="3451" spans="1:1">
      <c r="A3451" s="151" t="s">
        <v>5419</v>
      </c>
    </row>
    <row r="3452" spans="1:1">
      <c r="A3452" s="151" t="s">
        <v>5420</v>
      </c>
    </row>
    <row r="3453" spans="1:1">
      <c r="A3453" s="151" t="s">
        <v>5421</v>
      </c>
    </row>
    <row r="3454" spans="1:1">
      <c r="A3454" s="151" t="s">
        <v>5422</v>
      </c>
    </row>
    <row r="3455" spans="1:1">
      <c r="A3455" s="151" t="s">
        <v>5423</v>
      </c>
    </row>
    <row r="3456" spans="1:1">
      <c r="A3456" s="151" t="s">
        <v>5424</v>
      </c>
    </row>
    <row r="3457" spans="1:1">
      <c r="A3457" s="151" t="s">
        <v>5425</v>
      </c>
    </row>
    <row r="3458" spans="1:1">
      <c r="A3458" s="151" t="s">
        <v>5426</v>
      </c>
    </row>
    <row r="3459" spans="1:1">
      <c r="A3459" s="151" t="s">
        <v>5427</v>
      </c>
    </row>
    <row r="3460" spans="1:1">
      <c r="A3460" s="151" t="s">
        <v>5428</v>
      </c>
    </row>
    <row r="3461" spans="1:1">
      <c r="A3461" s="151" t="s">
        <v>5429</v>
      </c>
    </row>
    <row r="3462" spans="1:1">
      <c r="A3462" s="151" t="s">
        <v>5430</v>
      </c>
    </row>
    <row r="3463" spans="1:1">
      <c r="A3463" s="151" t="s">
        <v>5431</v>
      </c>
    </row>
    <row r="3464" spans="1:1">
      <c r="A3464" s="151" t="s">
        <v>5432</v>
      </c>
    </row>
    <row r="3465" spans="1:1">
      <c r="A3465" s="151" t="s">
        <v>5433</v>
      </c>
    </row>
    <row r="3466" spans="1:1">
      <c r="A3466" s="151" t="s">
        <v>5434</v>
      </c>
    </row>
    <row r="3467" spans="1:1">
      <c r="A3467" s="151" t="s">
        <v>5435</v>
      </c>
    </row>
    <row r="3468" spans="1:1">
      <c r="A3468" s="151" t="s">
        <v>5436</v>
      </c>
    </row>
    <row r="3469" spans="1:1">
      <c r="A3469" s="151" t="s">
        <v>5437</v>
      </c>
    </row>
    <row r="3470" spans="1:1">
      <c r="A3470" s="151" t="s">
        <v>5438</v>
      </c>
    </row>
    <row r="3471" spans="1:1">
      <c r="A3471" s="151" t="s">
        <v>5439</v>
      </c>
    </row>
    <row r="3472" spans="1:1">
      <c r="A3472" s="151" t="s">
        <v>5440</v>
      </c>
    </row>
    <row r="3473" spans="1:1">
      <c r="A3473" s="151" t="s">
        <v>5441</v>
      </c>
    </row>
    <row r="3474" spans="1:1">
      <c r="A3474" s="151" t="s">
        <v>5442</v>
      </c>
    </row>
    <row r="3475" spans="1:1">
      <c r="A3475" s="151" t="s">
        <v>5443</v>
      </c>
    </row>
    <row r="3476" spans="1:1">
      <c r="A3476" s="151" t="s">
        <v>5444</v>
      </c>
    </row>
    <row r="3477" spans="1:1">
      <c r="A3477" s="151" t="s">
        <v>5445</v>
      </c>
    </row>
    <row r="3478" spans="1:1">
      <c r="A3478" s="151" t="s">
        <v>5446</v>
      </c>
    </row>
    <row r="3479" spans="1:1">
      <c r="A3479" s="151" t="s">
        <v>5447</v>
      </c>
    </row>
    <row r="3480" spans="1:1">
      <c r="A3480" s="151" t="s">
        <v>5448</v>
      </c>
    </row>
    <row r="3481" spans="1:1">
      <c r="A3481" s="151" t="s">
        <v>5449</v>
      </c>
    </row>
    <row r="3482" spans="1:1">
      <c r="A3482" s="151" t="s">
        <v>5450</v>
      </c>
    </row>
    <row r="3483" spans="1:1">
      <c r="A3483" s="151" t="s">
        <v>5451</v>
      </c>
    </row>
    <row r="3484" spans="1:1">
      <c r="A3484" s="151" t="s">
        <v>5452</v>
      </c>
    </row>
    <row r="3485" spans="1:1">
      <c r="A3485" s="151" t="s">
        <v>5453</v>
      </c>
    </row>
    <row r="3486" spans="1:1">
      <c r="A3486" s="151" t="s">
        <v>5454</v>
      </c>
    </row>
    <row r="3487" spans="1:1">
      <c r="A3487" s="151" t="s">
        <v>5455</v>
      </c>
    </row>
    <row r="3488" spans="1:1">
      <c r="A3488" s="151" t="s">
        <v>5456</v>
      </c>
    </row>
    <row r="3489" spans="1:1">
      <c r="A3489" s="151" t="s">
        <v>5457</v>
      </c>
    </row>
    <row r="3490" spans="1:1">
      <c r="A3490" s="151" t="s">
        <v>5458</v>
      </c>
    </row>
    <row r="3491" spans="1:1">
      <c r="A3491" s="151" t="s">
        <v>5459</v>
      </c>
    </row>
    <row r="3492" spans="1:1">
      <c r="A3492" s="151" t="s">
        <v>5460</v>
      </c>
    </row>
    <row r="3493" spans="1:1">
      <c r="A3493" s="151" t="s">
        <v>5461</v>
      </c>
    </row>
    <row r="3494" spans="1:1">
      <c r="A3494" s="151" t="s">
        <v>5462</v>
      </c>
    </row>
    <row r="3495" spans="1:1">
      <c r="A3495" s="151" t="s">
        <v>5463</v>
      </c>
    </row>
    <row r="3496" spans="1:1">
      <c r="A3496" s="151" t="s">
        <v>5464</v>
      </c>
    </row>
    <row r="3497" spans="1:1">
      <c r="A3497" s="151" t="s">
        <v>5465</v>
      </c>
    </row>
    <row r="3498" spans="1:1">
      <c r="A3498" s="151" t="s">
        <v>5466</v>
      </c>
    </row>
    <row r="3499" spans="1:1">
      <c r="A3499" s="151" t="s">
        <v>5467</v>
      </c>
    </row>
    <row r="3500" spans="1:1">
      <c r="A3500" s="151" t="s">
        <v>5468</v>
      </c>
    </row>
    <row r="3501" spans="1:1">
      <c r="A3501" s="151" t="s">
        <v>5469</v>
      </c>
    </row>
    <row r="3502" spans="1:1">
      <c r="A3502" s="151" t="s">
        <v>5470</v>
      </c>
    </row>
    <row r="3503" spans="1:1">
      <c r="A3503" s="151" t="s">
        <v>5471</v>
      </c>
    </row>
    <row r="3504" spans="1:1">
      <c r="A3504" s="151" t="s">
        <v>5472</v>
      </c>
    </row>
    <row r="3505" spans="1:1">
      <c r="A3505" s="151" t="s">
        <v>5473</v>
      </c>
    </row>
    <row r="3506" spans="1:1">
      <c r="A3506" s="151" t="s">
        <v>5474</v>
      </c>
    </row>
    <row r="3507" spans="1:1">
      <c r="A3507" s="151" t="s">
        <v>5475</v>
      </c>
    </row>
    <row r="3508" spans="1:1">
      <c r="A3508" s="151" t="s">
        <v>5476</v>
      </c>
    </row>
    <row r="3509" spans="1:1">
      <c r="A3509" s="151" t="s">
        <v>5477</v>
      </c>
    </row>
    <row r="3510" spans="1:1">
      <c r="A3510" s="151" t="s">
        <v>5478</v>
      </c>
    </row>
    <row r="3511" spans="1:1">
      <c r="A3511" s="151" t="s">
        <v>5479</v>
      </c>
    </row>
    <row r="3512" spans="1:1">
      <c r="A3512" s="151" t="s">
        <v>5480</v>
      </c>
    </row>
    <row r="3513" spans="1:1">
      <c r="A3513" s="151" t="s">
        <v>5481</v>
      </c>
    </row>
    <row r="3514" spans="1:1">
      <c r="A3514" s="151" t="s">
        <v>5482</v>
      </c>
    </row>
    <row r="3515" spans="1:1">
      <c r="A3515" s="151" t="s">
        <v>5483</v>
      </c>
    </row>
    <row r="3516" spans="1:1">
      <c r="A3516" s="151" t="s">
        <v>5484</v>
      </c>
    </row>
    <row r="3517" spans="1:1">
      <c r="A3517" s="151" t="s">
        <v>5485</v>
      </c>
    </row>
    <row r="3518" spans="1:1">
      <c r="A3518" s="151" t="s">
        <v>5486</v>
      </c>
    </row>
    <row r="3519" spans="1:1">
      <c r="A3519" s="151" t="s">
        <v>5487</v>
      </c>
    </row>
    <row r="3520" spans="1:1">
      <c r="A3520" s="151" t="s">
        <v>5488</v>
      </c>
    </row>
    <row r="3521" spans="1:1">
      <c r="A3521" s="151" t="s">
        <v>5489</v>
      </c>
    </row>
    <row r="3522" spans="1:1">
      <c r="A3522" s="151" t="s">
        <v>5490</v>
      </c>
    </row>
    <row r="3523" spans="1:1">
      <c r="A3523" s="151" t="s">
        <v>5491</v>
      </c>
    </row>
    <row r="3524" spans="1:1">
      <c r="A3524" s="151" t="s">
        <v>5492</v>
      </c>
    </row>
    <row r="3525" spans="1:1">
      <c r="A3525" s="151" t="s">
        <v>5493</v>
      </c>
    </row>
    <row r="3526" spans="1:1">
      <c r="A3526" s="151" t="s">
        <v>5494</v>
      </c>
    </row>
    <row r="3527" spans="1:1">
      <c r="A3527" s="151" t="s">
        <v>5495</v>
      </c>
    </row>
    <row r="3528" spans="1:1">
      <c r="A3528" s="151" t="s">
        <v>5496</v>
      </c>
    </row>
    <row r="3529" spans="1:1">
      <c r="A3529" s="151" t="s">
        <v>5497</v>
      </c>
    </row>
    <row r="3530" spans="1:1">
      <c r="A3530" s="151" t="s">
        <v>5498</v>
      </c>
    </row>
    <row r="3531" spans="1:1">
      <c r="A3531" s="151" t="s">
        <v>5499</v>
      </c>
    </row>
    <row r="3532" spans="1:1">
      <c r="A3532" s="151" t="s">
        <v>5500</v>
      </c>
    </row>
    <row r="3533" spans="1:1">
      <c r="A3533" s="151" t="s">
        <v>5501</v>
      </c>
    </row>
    <row r="3534" spans="1:1">
      <c r="A3534" s="151" t="s">
        <v>5502</v>
      </c>
    </row>
    <row r="3535" spans="1:1">
      <c r="A3535" s="151" t="s">
        <v>5503</v>
      </c>
    </row>
    <row r="3536" spans="1:1">
      <c r="A3536" s="151" t="s">
        <v>5504</v>
      </c>
    </row>
    <row r="3537" spans="1:1">
      <c r="A3537" s="151" t="s">
        <v>5505</v>
      </c>
    </row>
    <row r="3538" spans="1:1">
      <c r="A3538" s="151" t="s">
        <v>5506</v>
      </c>
    </row>
    <row r="3539" spans="1:1">
      <c r="A3539" s="151" t="s">
        <v>5507</v>
      </c>
    </row>
    <row r="3540" spans="1:1">
      <c r="A3540" s="151" t="s">
        <v>5508</v>
      </c>
    </row>
    <row r="3541" spans="1:1">
      <c r="A3541" s="151" t="s">
        <v>5509</v>
      </c>
    </row>
    <row r="3542" spans="1:1">
      <c r="A3542" s="151" t="s">
        <v>5510</v>
      </c>
    </row>
    <row r="3543" spans="1:1">
      <c r="A3543" s="151" t="s">
        <v>5511</v>
      </c>
    </row>
    <row r="3544" spans="1:1">
      <c r="A3544" s="151" t="s">
        <v>5512</v>
      </c>
    </row>
    <row r="3545" spans="1:1">
      <c r="A3545" s="151" t="s">
        <v>5513</v>
      </c>
    </row>
    <row r="3546" spans="1:1">
      <c r="A3546" s="151" t="s">
        <v>5514</v>
      </c>
    </row>
    <row r="3547" spans="1:1">
      <c r="A3547" s="151" t="s">
        <v>5515</v>
      </c>
    </row>
    <row r="3548" spans="1:1">
      <c r="A3548" s="151" t="s">
        <v>5516</v>
      </c>
    </row>
    <row r="3549" spans="1:1">
      <c r="A3549" s="151" t="s">
        <v>5517</v>
      </c>
    </row>
    <row r="3550" spans="1:1">
      <c r="A3550" s="151" t="s">
        <v>5518</v>
      </c>
    </row>
    <row r="3551" spans="1:1">
      <c r="A3551" s="151" t="s">
        <v>5519</v>
      </c>
    </row>
    <row r="3552" spans="1:1">
      <c r="A3552" s="151" t="s">
        <v>5520</v>
      </c>
    </row>
    <row r="3553" spans="1:1">
      <c r="A3553" s="151" t="s">
        <v>5521</v>
      </c>
    </row>
    <row r="3554" spans="1:1">
      <c r="A3554" s="151" t="s">
        <v>5522</v>
      </c>
    </row>
    <row r="3555" spans="1:1">
      <c r="A3555" s="151" t="s">
        <v>5523</v>
      </c>
    </row>
    <row r="3556" spans="1:1">
      <c r="A3556" s="151" t="s">
        <v>5524</v>
      </c>
    </row>
    <row r="3557" spans="1:1">
      <c r="A3557" s="151" t="s">
        <v>5525</v>
      </c>
    </row>
    <row r="3558" spans="1:1">
      <c r="A3558" s="151" t="s">
        <v>5526</v>
      </c>
    </row>
    <row r="3559" spans="1:1">
      <c r="A3559" s="151" t="s">
        <v>5527</v>
      </c>
    </row>
    <row r="3560" spans="1:1">
      <c r="A3560" s="151" t="s">
        <v>5528</v>
      </c>
    </row>
    <row r="3561" spans="1:1">
      <c r="A3561" s="151" t="s">
        <v>5529</v>
      </c>
    </row>
    <row r="3562" spans="1:1">
      <c r="A3562" s="151" t="s">
        <v>5530</v>
      </c>
    </row>
    <row r="3563" spans="1:1">
      <c r="A3563" s="151" t="s">
        <v>5531</v>
      </c>
    </row>
    <row r="3564" spans="1:1">
      <c r="A3564" s="151" t="s">
        <v>5532</v>
      </c>
    </row>
    <row r="3565" spans="1:1">
      <c r="A3565" s="151" t="s">
        <v>5533</v>
      </c>
    </row>
    <row r="3566" spans="1:1">
      <c r="A3566" s="151" t="s">
        <v>5534</v>
      </c>
    </row>
    <row r="3567" spans="1:1">
      <c r="A3567" s="151" t="s">
        <v>5535</v>
      </c>
    </row>
    <row r="3568" spans="1:1">
      <c r="A3568" s="151" t="s">
        <v>5536</v>
      </c>
    </row>
    <row r="3569" spans="1:1">
      <c r="A3569" s="151" t="s">
        <v>5537</v>
      </c>
    </row>
    <row r="3570" spans="1:1">
      <c r="A3570" s="151" t="s">
        <v>5538</v>
      </c>
    </row>
    <row r="3571" spans="1:1">
      <c r="A3571" s="151" t="s">
        <v>5539</v>
      </c>
    </row>
    <row r="3572" spans="1:1">
      <c r="A3572" s="151" t="s">
        <v>5540</v>
      </c>
    </row>
    <row r="3573" spans="1:1">
      <c r="A3573" s="151" t="s">
        <v>5541</v>
      </c>
    </row>
    <row r="3574" spans="1:1">
      <c r="A3574" s="151" t="s">
        <v>5542</v>
      </c>
    </row>
    <row r="3575" spans="1:1">
      <c r="A3575" s="151" t="s">
        <v>5543</v>
      </c>
    </row>
    <row r="3576" spans="1:1">
      <c r="A3576" s="151" t="s">
        <v>5544</v>
      </c>
    </row>
    <row r="3577" spans="1:1">
      <c r="A3577" s="151" t="s">
        <v>5545</v>
      </c>
    </row>
    <row r="3578" spans="1:1">
      <c r="A3578" s="151" t="s">
        <v>5546</v>
      </c>
    </row>
    <row r="3579" spans="1:1">
      <c r="A3579" s="151" t="s">
        <v>5547</v>
      </c>
    </row>
    <row r="3580" spans="1:1">
      <c r="A3580" s="151" t="s">
        <v>5548</v>
      </c>
    </row>
    <row r="3581" spans="1:1">
      <c r="A3581" s="151" t="s">
        <v>5549</v>
      </c>
    </row>
    <row r="3582" spans="1:1">
      <c r="A3582" s="151" t="s">
        <v>5550</v>
      </c>
    </row>
    <row r="3583" spans="1:1">
      <c r="A3583" s="151" t="s">
        <v>5551</v>
      </c>
    </row>
    <row r="3584" spans="1:1">
      <c r="A3584" s="151" t="s">
        <v>5552</v>
      </c>
    </row>
    <row r="3585" spans="1:1">
      <c r="A3585" s="151" t="s">
        <v>5553</v>
      </c>
    </row>
    <row r="3586" spans="1:1">
      <c r="A3586" s="151" t="s">
        <v>5554</v>
      </c>
    </row>
    <row r="3587" spans="1:1">
      <c r="A3587" s="151" t="s">
        <v>5555</v>
      </c>
    </row>
    <row r="3588" spans="1:1">
      <c r="A3588" s="151" t="s">
        <v>5556</v>
      </c>
    </row>
    <row r="3589" spans="1:1">
      <c r="A3589" s="151" t="s">
        <v>5557</v>
      </c>
    </row>
    <row r="3590" spans="1:1">
      <c r="A3590" s="151" t="s">
        <v>5558</v>
      </c>
    </row>
    <row r="3591" spans="1:1">
      <c r="A3591" s="151" t="s">
        <v>5559</v>
      </c>
    </row>
    <row r="3592" spans="1:1">
      <c r="A3592" s="151" t="s">
        <v>5560</v>
      </c>
    </row>
    <row r="3593" spans="1:1">
      <c r="A3593" s="151" t="s">
        <v>5561</v>
      </c>
    </row>
    <row r="3594" spans="1:1">
      <c r="A3594" s="151" t="s">
        <v>5562</v>
      </c>
    </row>
    <row r="3595" spans="1:1">
      <c r="A3595" s="151" t="s">
        <v>5563</v>
      </c>
    </row>
    <row r="3596" spans="1:1">
      <c r="A3596" s="151" t="s">
        <v>5564</v>
      </c>
    </row>
    <row r="3597" spans="1:1">
      <c r="A3597" s="151" t="s">
        <v>5565</v>
      </c>
    </row>
    <row r="3598" spans="1:1">
      <c r="A3598" s="151" t="s">
        <v>5566</v>
      </c>
    </row>
    <row r="3599" spans="1:1">
      <c r="A3599" s="151" t="s">
        <v>5567</v>
      </c>
    </row>
    <row r="3600" spans="1:1">
      <c r="A3600" s="151" t="s">
        <v>5568</v>
      </c>
    </row>
    <row r="3601" spans="1:1">
      <c r="A3601" s="151" t="s">
        <v>5569</v>
      </c>
    </row>
    <row r="3602" spans="1:1">
      <c r="A3602" s="151" t="s">
        <v>5570</v>
      </c>
    </row>
    <row r="3603" spans="1:1">
      <c r="A3603" s="151" t="s">
        <v>5571</v>
      </c>
    </row>
    <row r="3604" spans="1:1">
      <c r="A3604" s="151" t="s">
        <v>5572</v>
      </c>
    </row>
    <row r="3605" spans="1:1">
      <c r="A3605" s="151" t="s">
        <v>5573</v>
      </c>
    </row>
    <row r="3606" spans="1:1">
      <c r="A3606" s="151" t="s">
        <v>5574</v>
      </c>
    </row>
    <row r="3607" spans="1:1">
      <c r="A3607" s="151" t="s">
        <v>5575</v>
      </c>
    </row>
    <row r="3608" spans="1:1">
      <c r="A3608" s="151" t="s">
        <v>5576</v>
      </c>
    </row>
    <row r="3609" spans="1:1">
      <c r="A3609" s="151" t="s">
        <v>5577</v>
      </c>
    </row>
    <row r="3610" spans="1:1">
      <c r="A3610" s="151" t="s">
        <v>5578</v>
      </c>
    </row>
    <row r="3611" spans="1:1">
      <c r="A3611" s="151" t="s">
        <v>5579</v>
      </c>
    </row>
    <row r="3612" spans="1:1">
      <c r="A3612" s="151" t="s">
        <v>5580</v>
      </c>
    </row>
    <row r="3613" spans="1:1">
      <c r="A3613" s="151" t="s">
        <v>5581</v>
      </c>
    </row>
    <row r="3614" spans="1:1">
      <c r="A3614" s="151" t="s">
        <v>5582</v>
      </c>
    </row>
    <row r="3615" spans="1:1">
      <c r="A3615" s="151" t="s">
        <v>5583</v>
      </c>
    </row>
    <row r="3616" spans="1:1">
      <c r="A3616" s="151" t="s">
        <v>5584</v>
      </c>
    </row>
    <row r="3617" spans="1:1">
      <c r="A3617" s="151" t="s">
        <v>5585</v>
      </c>
    </row>
    <row r="3618" spans="1:1">
      <c r="A3618" s="151" t="s">
        <v>5586</v>
      </c>
    </row>
    <row r="3619" spans="1:1">
      <c r="A3619" s="151" t="s">
        <v>5587</v>
      </c>
    </row>
    <row r="3620" spans="1:1">
      <c r="A3620" s="151" t="s">
        <v>5588</v>
      </c>
    </row>
    <row r="3621" spans="1:1">
      <c r="A3621" s="151" t="s">
        <v>5589</v>
      </c>
    </row>
    <row r="3622" spans="1:1">
      <c r="A3622" s="151" t="s">
        <v>5590</v>
      </c>
    </row>
    <row r="3623" spans="1:1">
      <c r="A3623" s="151" t="s">
        <v>5591</v>
      </c>
    </row>
    <row r="3624" spans="1:1">
      <c r="A3624" s="151" t="s">
        <v>5592</v>
      </c>
    </row>
    <row r="3625" spans="1:1">
      <c r="A3625" s="151" t="s">
        <v>5593</v>
      </c>
    </row>
    <row r="3626" spans="1:1">
      <c r="A3626" s="151" t="s">
        <v>5594</v>
      </c>
    </row>
    <row r="3627" spans="1:1">
      <c r="A3627" s="151" t="s">
        <v>5595</v>
      </c>
    </row>
    <row r="3628" spans="1:1">
      <c r="A3628" s="151" t="s">
        <v>5596</v>
      </c>
    </row>
    <row r="3629" spans="1:1">
      <c r="A3629" s="151" t="s">
        <v>5597</v>
      </c>
    </row>
    <row r="3630" spans="1:1">
      <c r="A3630" s="151" t="s">
        <v>5598</v>
      </c>
    </row>
    <row r="3631" spans="1:1">
      <c r="A3631" s="151" t="s">
        <v>5599</v>
      </c>
    </row>
    <row r="3632" spans="1:1">
      <c r="A3632" s="151" t="s">
        <v>5600</v>
      </c>
    </row>
    <row r="3633" spans="1:1">
      <c r="A3633" s="151" t="s">
        <v>5601</v>
      </c>
    </row>
    <row r="3634" spans="1:1">
      <c r="A3634" s="151" t="s">
        <v>5602</v>
      </c>
    </row>
    <row r="3635" spans="1:1">
      <c r="A3635" s="151" t="s">
        <v>5603</v>
      </c>
    </row>
    <row r="3636" spans="1:1">
      <c r="A3636" s="151" t="s">
        <v>5604</v>
      </c>
    </row>
    <row r="3637" spans="1:1">
      <c r="A3637" s="151" t="s">
        <v>5605</v>
      </c>
    </row>
    <row r="3638" spans="1:1">
      <c r="A3638" s="151" t="s">
        <v>5606</v>
      </c>
    </row>
    <row r="3639" spans="1:1">
      <c r="A3639" s="151" t="s">
        <v>5607</v>
      </c>
    </row>
    <row r="3640" spans="1:1">
      <c r="A3640" s="151" t="s">
        <v>5608</v>
      </c>
    </row>
    <row r="3641" spans="1:1">
      <c r="A3641" s="151" t="s">
        <v>5609</v>
      </c>
    </row>
    <row r="3642" spans="1:1">
      <c r="A3642" s="151" t="s">
        <v>5610</v>
      </c>
    </row>
    <row r="3643" spans="1:1">
      <c r="A3643" s="151" t="s">
        <v>5611</v>
      </c>
    </row>
    <row r="3644" spans="1:1">
      <c r="A3644" s="151" t="s">
        <v>5612</v>
      </c>
    </row>
    <row r="3645" spans="1:1">
      <c r="A3645" s="151" t="s">
        <v>5613</v>
      </c>
    </row>
    <row r="3646" spans="1:1">
      <c r="A3646" s="151" t="s">
        <v>5614</v>
      </c>
    </row>
    <row r="3647" spans="1:1">
      <c r="A3647" s="151" t="s">
        <v>5615</v>
      </c>
    </row>
    <row r="3648" spans="1:1">
      <c r="A3648" s="151" t="s">
        <v>5616</v>
      </c>
    </row>
    <row r="3649" spans="1:1">
      <c r="A3649" s="151" t="s">
        <v>5617</v>
      </c>
    </row>
    <row r="3650" spans="1:1">
      <c r="A3650" s="151" t="s">
        <v>5618</v>
      </c>
    </row>
    <row r="3651" spans="1:1">
      <c r="A3651" s="151" t="s">
        <v>5619</v>
      </c>
    </row>
    <row r="3652" spans="1:1">
      <c r="A3652" s="151" t="s">
        <v>5620</v>
      </c>
    </row>
    <row r="3653" spans="1:1">
      <c r="A3653" s="151" t="s">
        <v>5621</v>
      </c>
    </row>
    <row r="3654" spans="1:1">
      <c r="A3654" s="151" t="s">
        <v>5622</v>
      </c>
    </row>
    <row r="3655" spans="1:1">
      <c r="A3655" s="151" t="s">
        <v>5623</v>
      </c>
    </row>
    <row r="3656" spans="1:1">
      <c r="A3656" s="151" t="s">
        <v>5624</v>
      </c>
    </row>
    <row r="3657" spans="1:1">
      <c r="A3657" s="151" t="s">
        <v>5625</v>
      </c>
    </row>
    <row r="3658" spans="1:1">
      <c r="A3658" s="151" t="s">
        <v>5626</v>
      </c>
    </row>
    <row r="3659" spans="1:1">
      <c r="A3659" s="151" t="s">
        <v>5627</v>
      </c>
    </row>
    <row r="3660" spans="1:1">
      <c r="A3660" s="151" t="s">
        <v>5628</v>
      </c>
    </row>
    <row r="3661" spans="1:1">
      <c r="A3661" s="151" t="s">
        <v>5629</v>
      </c>
    </row>
    <row r="3662" spans="1:1">
      <c r="A3662" s="151" t="s">
        <v>5630</v>
      </c>
    </row>
    <row r="3663" spans="1:1">
      <c r="A3663" s="151" t="s">
        <v>5631</v>
      </c>
    </row>
    <row r="3664" spans="1:1">
      <c r="A3664" s="151" t="s">
        <v>5632</v>
      </c>
    </row>
    <row r="3665" spans="1:1">
      <c r="A3665" s="151" t="s">
        <v>5633</v>
      </c>
    </row>
    <row r="3666" spans="1:1">
      <c r="A3666" s="151" t="s">
        <v>5634</v>
      </c>
    </row>
    <row r="3667" spans="1:1">
      <c r="A3667" s="151" t="s">
        <v>5635</v>
      </c>
    </row>
    <row r="3668" spans="1:1">
      <c r="A3668" s="151" t="s">
        <v>5636</v>
      </c>
    </row>
    <row r="3669" spans="1:1">
      <c r="A3669" s="151" t="s">
        <v>5637</v>
      </c>
    </row>
    <row r="3670" spans="1:1">
      <c r="A3670" s="151" t="s">
        <v>5638</v>
      </c>
    </row>
    <row r="3671" spans="1:1">
      <c r="A3671" s="151" t="s">
        <v>5639</v>
      </c>
    </row>
    <row r="3672" spans="1:1">
      <c r="A3672" s="151" t="s">
        <v>5640</v>
      </c>
    </row>
    <row r="3673" spans="1:1">
      <c r="A3673" s="151" t="s">
        <v>5641</v>
      </c>
    </row>
    <row r="3674" spans="1:1">
      <c r="A3674" s="151" t="s">
        <v>5642</v>
      </c>
    </row>
    <row r="3675" spans="1:1">
      <c r="A3675" s="151" t="s">
        <v>5643</v>
      </c>
    </row>
    <row r="3676" spans="1:1">
      <c r="A3676" s="151" t="s">
        <v>5644</v>
      </c>
    </row>
    <row r="3677" spans="1:1">
      <c r="A3677" s="151" t="s">
        <v>5645</v>
      </c>
    </row>
    <row r="3678" spans="1:1">
      <c r="A3678" s="151" t="s">
        <v>5646</v>
      </c>
    </row>
    <row r="3679" spans="1:1">
      <c r="A3679" s="151" t="s">
        <v>5647</v>
      </c>
    </row>
    <row r="3680" spans="1:1">
      <c r="A3680" s="151" t="s">
        <v>5648</v>
      </c>
    </row>
    <row r="3681" spans="1:1">
      <c r="A3681" s="151" t="s">
        <v>5649</v>
      </c>
    </row>
    <row r="3682" spans="1:1">
      <c r="A3682" s="151" t="s">
        <v>5650</v>
      </c>
    </row>
    <row r="3683" spans="1:1">
      <c r="A3683" s="151" t="s">
        <v>5651</v>
      </c>
    </row>
    <row r="3684" spans="1:1">
      <c r="A3684" s="151" t="s">
        <v>5652</v>
      </c>
    </row>
    <row r="3685" spans="1:1">
      <c r="A3685" s="151" t="s">
        <v>5653</v>
      </c>
    </row>
    <row r="3686" spans="1:1">
      <c r="A3686" s="151" t="s">
        <v>5654</v>
      </c>
    </row>
    <row r="3687" spans="1:1">
      <c r="A3687" s="151" t="s">
        <v>5655</v>
      </c>
    </row>
    <row r="3688" spans="1:1">
      <c r="A3688" s="151" t="s">
        <v>5656</v>
      </c>
    </row>
    <row r="3689" spans="1:1">
      <c r="A3689" s="151" t="s">
        <v>5657</v>
      </c>
    </row>
    <row r="3690" spans="1:1">
      <c r="A3690" s="151" t="s">
        <v>5658</v>
      </c>
    </row>
    <row r="3691" spans="1:1">
      <c r="A3691" s="151" t="s">
        <v>5659</v>
      </c>
    </row>
    <row r="3692" spans="1:1">
      <c r="A3692" s="151" t="s">
        <v>5660</v>
      </c>
    </row>
    <row r="3693" spans="1:1">
      <c r="A3693" s="151" t="s">
        <v>5661</v>
      </c>
    </row>
    <row r="3694" spans="1:1">
      <c r="A3694" s="151" t="s">
        <v>5662</v>
      </c>
    </row>
    <row r="3695" spans="1:1">
      <c r="A3695" s="151" t="s">
        <v>5663</v>
      </c>
    </row>
    <row r="3696" spans="1:1">
      <c r="A3696" s="151" t="s">
        <v>5664</v>
      </c>
    </row>
    <row r="3697" spans="1:1">
      <c r="A3697" s="151" t="s">
        <v>5665</v>
      </c>
    </row>
    <row r="3698" spans="1:1">
      <c r="A3698" s="151" t="s">
        <v>5666</v>
      </c>
    </row>
    <row r="3699" spans="1:1">
      <c r="A3699" s="151" t="s">
        <v>5667</v>
      </c>
    </row>
    <row r="3700" spans="1:1">
      <c r="A3700" s="151" t="s">
        <v>5668</v>
      </c>
    </row>
    <row r="3701" spans="1:1">
      <c r="A3701" s="151" t="s">
        <v>5669</v>
      </c>
    </row>
    <row r="3702" spans="1:1">
      <c r="A3702" s="151" t="s">
        <v>5670</v>
      </c>
    </row>
    <row r="3703" spans="1:1">
      <c r="A3703" s="151" t="s">
        <v>5671</v>
      </c>
    </row>
    <row r="3704" spans="1:1">
      <c r="A3704" s="151" t="s">
        <v>5672</v>
      </c>
    </row>
    <row r="3705" spans="1:1">
      <c r="A3705" s="151" t="s">
        <v>5673</v>
      </c>
    </row>
    <row r="3706" spans="1:1">
      <c r="A3706" s="151" t="s">
        <v>5674</v>
      </c>
    </row>
    <row r="3707" spans="1:1">
      <c r="A3707" s="151" t="s">
        <v>5675</v>
      </c>
    </row>
    <row r="3708" spans="1:1">
      <c r="A3708" s="151" t="s">
        <v>5676</v>
      </c>
    </row>
    <row r="3709" spans="1:1">
      <c r="A3709" s="151" t="s">
        <v>5677</v>
      </c>
    </row>
    <row r="3710" spans="1:1">
      <c r="A3710" s="151" t="s">
        <v>5678</v>
      </c>
    </row>
    <row r="3711" spans="1:1">
      <c r="A3711" s="151" t="s">
        <v>5679</v>
      </c>
    </row>
    <row r="3712" spans="1:1">
      <c r="A3712" s="151" t="s">
        <v>5680</v>
      </c>
    </row>
    <row r="3713" spans="1:1">
      <c r="A3713" s="151" t="s">
        <v>5681</v>
      </c>
    </row>
    <row r="3714" spans="1:1">
      <c r="A3714" s="151" t="s">
        <v>5682</v>
      </c>
    </row>
    <row r="3715" spans="1:1">
      <c r="A3715" s="151" t="s">
        <v>5683</v>
      </c>
    </row>
    <row r="3716" spans="1:1">
      <c r="A3716" s="151" t="s">
        <v>5684</v>
      </c>
    </row>
    <row r="3717" spans="1:1">
      <c r="A3717" s="151" t="s">
        <v>5685</v>
      </c>
    </row>
    <row r="3718" spans="1:1">
      <c r="A3718" s="151" t="s">
        <v>5686</v>
      </c>
    </row>
    <row r="3719" spans="1:1">
      <c r="A3719" s="151" t="s">
        <v>5687</v>
      </c>
    </row>
    <row r="3720" spans="1:1">
      <c r="A3720" s="151" t="s">
        <v>5688</v>
      </c>
    </row>
    <row r="3721" spans="1:1">
      <c r="A3721" s="151" t="s">
        <v>5689</v>
      </c>
    </row>
    <row r="3722" spans="1:1">
      <c r="A3722" s="151" t="s">
        <v>5690</v>
      </c>
    </row>
    <row r="3723" spans="1:1">
      <c r="A3723" s="151" t="s">
        <v>5691</v>
      </c>
    </row>
    <row r="3724" spans="1:1">
      <c r="A3724" s="151" t="s">
        <v>5692</v>
      </c>
    </row>
    <row r="3725" spans="1:1">
      <c r="A3725" s="151" t="s">
        <v>5693</v>
      </c>
    </row>
    <row r="3726" spans="1:1">
      <c r="A3726" s="151" t="s">
        <v>5694</v>
      </c>
    </row>
    <row r="3727" spans="1:1">
      <c r="A3727" s="151" t="s">
        <v>5695</v>
      </c>
    </row>
    <row r="3728" spans="1:1">
      <c r="A3728" s="151" t="s">
        <v>5696</v>
      </c>
    </row>
    <row r="3729" spans="1:1">
      <c r="A3729" s="151" t="s">
        <v>5697</v>
      </c>
    </row>
    <row r="3730" spans="1:1">
      <c r="A3730" s="151" t="s">
        <v>5698</v>
      </c>
    </row>
    <row r="3731" spans="1:1">
      <c r="A3731" s="151" t="s">
        <v>5699</v>
      </c>
    </row>
    <row r="3732" spans="1:1">
      <c r="A3732" s="151" t="s">
        <v>5700</v>
      </c>
    </row>
    <row r="3733" spans="1:1">
      <c r="A3733" s="151" t="s">
        <v>5701</v>
      </c>
    </row>
    <row r="3734" spans="1:1">
      <c r="A3734" s="151" t="s">
        <v>5702</v>
      </c>
    </row>
    <row r="3735" spans="1:1">
      <c r="A3735" s="151" t="s">
        <v>5703</v>
      </c>
    </row>
    <row r="3736" spans="1:1">
      <c r="A3736" s="151" t="s">
        <v>5704</v>
      </c>
    </row>
    <row r="3737" spans="1:1">
      <c r="A3737" s="151" t="s">
        <v>5705</v>
      </c>
    </row>
    <row r="3738" spans="1:1">
      <c r="A3738" s="151" t="s">
        <v>5706</v>
      </c>
    </row>
    <row r="3739" spans="1:1">
      <c r="A3739" s="151" t="s">
        <v>5707</v>
      </c>
    </row>
    <row r="3740" spans="1:1">
      <c r="A3740" s="151" t="s">
        <v>5708</v>
      </c>
    </row>
    <row r="3741" spans="1:1">
      <c r="A3741" s="151" t="s">
        <v>5709</v>
      </c>
    </row>
    <row r="3742" spans="1:1">
      <c r="A3742" s="151" t="s">
        <v>5710</v>
      </c>
    </row>
    <row r="3743" spans="1:1">
      <c r="A3743" s="151" t="s">
        <v>5711</v>
      </c>
    </row>
    <row r="3744" spans="1:1">
      <c r="A3744" s="151" t="s">
        <v>5712</v>
      </c>
    </row>
    <row r="3745" spans="1:1">
      <c r="A3745" s="151" t="s">
        <v>5713</v>
      </c>
    </row>
    <row r="3746" spans="1:1">
      <c r="A3746" s="151" t="s">
        <v>5714</v>
      </c>
    </row>
    <row r="3747" spans="1:1">
      <c r="A3747" s="151" t="s">
        <v>5715</v>
      </c>
    </row>
    <row r="3748" spans="1:1">
      <c r="A3748" s="151" t="s">
        <v>5716</v>
      </c>
    </row>
    <row r="3749" spans="1:1">
      <c r="A3749" s="151" t="s">
        <v>5717</v>
      </c>
    </row>
    <row r="3750" spans="1:1">
      <c r="A3750" s="151" t="s">
        <v>5718</v>
      </c>
    </row>
    <row r="3751" spans="1:1">
      <c r="A3751" s="151" t="s">
        <v>5719</v>
      </c>
    </row>
    <row r="3752" spans="1:1">
      <c r="A3752" s="151" t="s">
        <v>5720</v>
      </c>
    </row>
    <row r="3753" spans="1:1">
      <c r="A3753" s="151" t="s">
        <v>5721</v>
      </c>
    </row>
    <row r="3754" spans="1:1">
      <c r="A3754" s="151" t="s">
        <v>5722</v>
      </c>
    </row>
    <row r="3755" spans="1:1">
      <c r="A3755" s="151" t="s">
        <v>5723</v>
      </c>
    </row>
    <row r="3756" spans="1:1">
      <c r="A3756" s="151" t="s">
        <v>5724</v>
      </c>
    </row>
    <row r="3757" spans="1:1">
      <c r="A3757" s="151" t="s">
        <v>5725</v>
      </c>
    </row>
    <row r="3758" spans="1:1">
      <c r="A3758" s="151" t="s">
        <v>5726</v>
      </c>
    </row>
    <row r="3759" spans="1:1">
      <c r="A3759" s="151" t="s">
        <v>5727</v>
      </c>
    </row>
    <row r="3760" spans="1:1">
      <c r="A3760" s="151" t="s">
        <v>5728</v>
      </c>
    </row>
    <row r="3761" spans="1:1">
      <c r="A3761" s="151" t="s">
        <v>5729</v>
      </c>
    </row>
    <row r="3762" spans="1:1">
      <c r="A3762" s="151" t="s">
        <v>5730</v>
      </c>
    </row>
    <row r="3763" spans="1:1">
      <c r="A3763" s="151" t="s">
        <v>5731</v>
      </c>
    </row>
    <row r="3764" spans="1:1">
      <c r="A3764" s="151" t="s">
        <v>5732</v>
      </c>
    </row>
    <row r="3765" spans="1:1">
      <c r="A3765" s="151" t="s">
        <v>5733</v>
      </c>
    </row>
    <row r="3766" spans="1:1">
      <c r="A3766" s="151" t="s">
        <v>5734</v>
      </c>
    </row>
    <row r="3767" spans="1:1">
      <c r="A3767" s="151" t="s">
        <v>5735</v>
      </c>
    </row>
    <row r="3768" spans="1:1">
      <c r="A3768" s="151" t="s">
        <v>5736</v>
      </c>
    </row>
    <row r="3769" spans="1:1">
      <c r="A3769" s="151" t="s">
        <v>5737</v>
      </c>
    </row>
    <row r="3770" spans="1:1">
      <c r="A3770" s="151" t="s">
        <v>5738</v>
      </c>
    </row>
    <row r="3771" spans="1:1">
      <c r="A3771" s="151" t="s">
        <v>5739</v>
      </c>
    </row>
    <row r="3772" spans="1:1">
      <c r="A3772" s="151" t="s">
        <v>5740</v>
      </c>
    </row>
    <row r="3773" spans="1:1">
      <c r="A3773" s="151" t="s">
        <v>5741</v>
      </c>
    </row>
    <row r="3774" spans="1:1">
      <c r="A3774" s="151" t="s">
        <v>5742</v>
      </c>
    </row>
    <row r="3775" spans="1:1">
      <c r="A3775" s="151" t="s">
        <v>5743</v>
      </c>
    </row>
    <row r="3776" spans="1:1">
      <c r="A3776" s="151" t="s">
        <v>5744</v>
      </c>
    </row>
    <row r="3777" spans="1:1">
      <c r="A3777" s="151" t="s">
        <v>5745</v>
      </c>
    </row>
    <row r="3778" spans="1:1">
      <c r="A3778" s="151" t="s">
        <v>5746</v>
      </c>
    </row>
    <row r="3779" spans="1:1">
      <c r="A3779" s="151" t="s">
        <v>5747</v>
      </c>
    </row>
    <row r="3780" spans="1:1">
      <c r="A3780" s="151" t="s">
        <v>5748</v>
      </c>
    </row>
    <row r="3781" spans="1:1">
      <c r="A3781" s="151" t="s">
        <v>5749</v>
      </c>
    </row>
    <row r="3782" spans="1:1">
      <c r="A3782" s="151" t="s">
        <v>5750</v>
      </c>
    </row>
    <row r="3783" spans="1:1">
      <c r="A3783" s="151" t="s">
        <v>5751</v>
      </c>
    </row>
    <row r="3784" spans="1:1">
      <c r="A3784" s="151" t="s">
        <v>5752</v>
      </c>
    </row>
    <row r="3785" spans="1:1">
      <c r="A3785" s="151" t="s">
        <v>5753</v>
      </c>
    </row>
    <row r="3786" spans="1:1">
      <c r="A3786" s="151" t="s">
        <v>5754</v>
      </c>
    </row>
    <row r="3787" spans="1:1">
      <c r="A3787" s="151" t="s">
        <v>5755</v>
      </c>
    </row>
    <row r="3788" spans="1:1">
      <c r="A3788" s="151" t="s">
        <v>5756</v>
      </c>
    </row>
    <row r="3789" spans="1:1">
      <c r="A3789" s="151" t="s">
        <v>5757</v>
      </c>
    </row>
    <row r="3790" spans="1:1">
      <c r="A3790" s="151" t="s">
        <v>5758</v>
      </c>
    </row>
    <row r="3791" spans="1:1">
      <c r="A3791" s="151" t="s">
        <v>5759</v>
      </c>
    </row>
    <row r="3792" spans="1:1">
      <c r="A3792" s="151" t="s">
        <v>5760</v>
      </c>
    </row>
    <row r="3793" spans="1:1">
      <c r="A3793" s="151" t="s">
        <v>5761</v>
      </c>
    </row>
    <row r="3794" spans="1:1">
      <c r="A3794" s="151" t="s">
        <v>5762</v>
      </c>
    </row>
    <row r="3795" spans="1:1">
      <c r="A3795" s="151" t="s">
        <v>5763</v>
      </c>
    </row>
    <row r="3796" spans="1:1">
      <c r="A3796" s="151" t="s">
        <v>5764</v>
      </c>
    </row>
    <row r="3797" spans="1:1">
      <c r="A3797" s="151" t="s">
        <v>5765</v>
      </c>
    </row>
    <row r="3798" spans="1:1">
      <c r="A3798" s="151" t="s">
        <v>5766</v>
      </c>
    </row>
    <row r="3799" spans="1:1">
      <c r="A3799" s="151" t="s">
        <v>5767</v>
      </c>
    </row>
    <row r="3800" spans="1:1">
      <c r="A3800" s="151" t="s">
        <v>5768</v>
      </c>
    </row>
    <row r="3801" spans="1:1">
      <c r="A3801" s="151" t="s">
        <v>5769</v>
      </c>
    </row>
    <row r="3802" spans="1:1">
      <c r="A3802" s="151" t="s">
        <v>5770</v>
      </c>
    </row>
    <row r="3803" spans="1:1">
      <c r="A3803" s="151" t="s">
        <v>5771</v>
      </c>
    </row>
    <row r="3804" spans="1:1">
      <c r="A3804" s="151" t="s">
        <v>5772</v>
      </c>
    </row>
    <row r="3805" spans="1:1">
      <c r="A3805" s="151" t="s">
        <v>5773</v>
      </c>
    </row>
    <row r="3806" spans="1:1">
      <c r="A3806" s="151" t="s">
        <v>5774</v>
      </c>
    </row>
    <row r="3807" spans="1:1">
      <c r="A3807" s="151" t="s">
        <v>5775</v>
      </c>
    </row>
    <row r="3808" spans="1:1">
      <c r="A3808" s="151" t="s">
        <v>5776</v>
      </c>
    </row>
    <row r="3809" spans="1:1">
      <c r="A3809" s="151" t="s">
        <v>5777</v>
      </c>
    </row>
    <row r="3810" spans="1:1">
      <c r="A3810" s="151" t="s">
        <v>5778</v>
      </c>
    </row>
    <row r="3811" spans="1:1">
      <c r="A3811" s="151" t="s">
        <v>5779</v>
      </c>
    </row>
    <row r="3812" spans="1:1">
      <c r="A3812" s="151" t="s">
        <v>5780</v>
      </c>
    </row>
    <row r="3813" spans="1:1">
      <c r="A3813" s="151" t="s">
        <v>5781</v>
      </c>
    </row>
    <row r="3814" spans="1:1">
      <c r="A3814" s="151" t="s">
        <v>5782</v>
      </c>
    </row>
    <row r="3815" spans="1:1">
      <c r="A3815" s="151" t="s">
        <v>5783</v>
      </c>
    </row>
    <row r="3816" spans="1:1">
      <c r="A3816" s="151" t="s">
        <v>5784</v>
      </c>
    </row>
    <row r="3817" spans="1:1">
      <c r="A3817" s="151" t="s">
        <v>5785</v>
      </c>
    </row>
    <row r="3818" spans="1:1">
      <c r="A3818" s="151" t="s">
        <v>5786</v>
      </c>
    </row>
    <row r="3819" spans="1:1">
      <c r="A3819" s="151" t="s">
        <v>5787</v>
      </c>
    </row>
    <row r="3820" spans="1:1">
      <c r="A3820" s="151" t="s">
        <v>5788</v>
      </c>
    </row>
    <row r="3821" spans="1:1">
      <c r="A3821" s="151" t="s">
        <v>5789</v>
      </c>
    </row>
    <row r="3822" spans="1:1">
      <c r="A3822" s="151" t="s">
        <v>5790</v>
      </c>
    </row>
    <row r="3823" spans="1:1">
      <c r="A3823" s="151" t="s">
        <v>5791</v>
      </c>
    </row>
    <row r="3824" spans="1:1">
      <c r="A3824" s="151" t="s">
        <v>5792</v>
      </c>
    </row>
    <row r="3825" spans="1:1">
      <c r="A3825" s="151" t="s">
        <v>5793</v>
      </c>
    </row>
    <row r="3826" spans="1:1">
      <c r="A3826" s="151" t="s">
        <v>5794</v>
      </c>
    </row>
    <row r="3827" spans="1:1">
      <c r="A3827" s="151" t="s">
        <v>5795</v>
      </c>
    </row>
    <row r="3828" spans="1:1">
      <c r="A3828" s="151" t="s">
        <v>5796</v>
      </c>
    </row>
    <row r="3829" spans="1:1">
      <c r="A3829" s="151" t="s">
        <v>5797</v>
      </c>
    </row>
    <row r="3830" spans="1:1">
      <c r="A3830" s="151" t="s">
        <v>5798</v>
      </c>
    </row>
    <row r="3831" spans="1:1">
      <c r="A3831" s="151" t="s">
        <v>5799</v>
      </c>
    </row>
    <row r="3832" spans="1:1">
      <c r="A3832" s="151" t="s">
        <v>5800</v>
      </c>
    </row>
    <row r="3833" spans="1:1">
      <c r="A3833" s="151" t="s">
        <v>5801</v>
      </c>
    </row>
    <row r="3834" spans="1:1">
      <c r="A3834" s="151" t="s">
        <v>5802</v>
      </c>
    </row>
    <row r="3835" spans="1:1">
      <c r="A3835" s="151" t="s">
        <v>5803</v>
      </c>
    </row>
    <row r="3836" spans="1:1">
      <c r="A3836" s="151" t="s">
        <v>5804</v>
      </c>
    </row>
    <row r="3837" spans="1:1">
      <c r="A3837" s="151" t="s">
        <v>5805</v>
      </c>
    </row>
    <row r="3838" spans="1:1">
      <c r="A3838" s="151" t="s">
        <v>5806</v>
      </c>
    </row>
    <row r="3839" spans="1:1">
      <c r="A3839" s="151" t="s">
        <v>5807</v>
      </c>
    </row>
    <row r="3840" spans="1:1">
      <c r="A3840" s="151" t="s">
        <v>5808</v>
      </c>
    </row>
    <row r="3841" spans="1:1">
      <c r="A3841" s="151" t="s">
        <v>5809</v>
      </c>
    </row>
    <row r="3842" spans="1:1">
      <c r="A3842" s="151" t="s">
        <v>5810</v>
      </c>
    </row>
    <row r="3843" spans="1:1">
      <c r="A3843" s="151" t="s">
        <v>5811</v>
      </c>
    </row>
    <row r="3844" spans="1:1">
      <c r="A3844" s="151" t="s">
        <v>5812</v>
      </c>
    </row>
    <row r="3845" spans="1:1">
      <c r="A3845" s="151" t="s">
        <v>5813</v>
      </c>
    </row>
    <row r="3846" spans="1:1">
      <c r="A3846" s="151" t="s">
        <v>5814</v>
      </c>
    </row>
    <row r="3847" spans="1:1">
      <c r="A3847" s="151" t="s">
        <v>5815</v>
      </c>
    </row>
    <row r="3848" spans="1:1">
      <c r="A3848" s="151" t="s">
        <v>5816</v>
      </c>
    </row>
    <row r="3849" spans="1:1">
      <c r="A3849" s="151" t="s">
        <v>5817</v>
      </c>
    </row>
    <row r="3850" spans="1:1">
      <c r="A3850" s="151" t="s">
        <v>5818</v>
      </c>
    </row>
    <row r="3851" spans="1:1">
      <c r="A3851" s="151" t="s">
        <v>5819</v>
      </c>
    </row>
    <row r="3852" spans="1:1">
      <c r="A3852" s="151" t="s">
        <v>5820</v>
      </c>
    </row>
    <row r="3853" spans="1:1">
      <c r="A3853" s="151" t="s">
        <v>5821</v>
      </c>
    </row>
    <row r="3854" spans="1:1">
      <c r="A3854" s="151" t="s">
        <v>5822</v>
      </c>
    </row>
    <row r="3855" spans="1:1">
      <c r="A3855" s="151" t="s">
        <v>5823</v>
      </c>
    </row>
    <row r="3856" spans="1:1">
      <c r="A3856" s="151" t="s">
        <v>5824</v>
      </c>
    </row>
    <row r="3857" spans="1:1">
      <c r="A3857" s="151" t="s">
        <v>5825</v>
      </c>
    </row>
    <row r="3858" spans="1:1">
      <c r="A3858" s="151" t="s">
        <v>5826</v>
      </c>
    </row>
    <row r="3859" spans="1:1">
      <c r="A3859" s="151" t="s">
        <v>5827</v>
      </c>
    </row>
    <row r="3860" spans="1:1">
      <c r="A3860" s="151" t="s">
        <v>5828</v>
      </c>
    </row>
    <row r="3861" spans="1:1">
      <c r="A3861" s="151" t="s">
        <v>5829</v>
      </c>
    </row>
    <row r="3862" spans="1:1">
      <c r="A3862" s="151" t="s">
        <v>5830</v>
      </c>
    </row>
    <row r="3863" spans="1:1">
      <c r="A3863" s="151" t="s">
        <v>5831</v>
      </c>
    </row>
    <row r="3864" spans="1:1">
      <c r="A3864" s="151" t="s">
        <v>5832</v>
      </c>
    </row>
    <row r="3865" spans="1:1">
      <c r="A3865" s="151" t="s">
        <v>5833</v>
      </c>
    </row>
    <row r="3866" spans="1:1">
      <c r="A3866" s="151" t="s">
        <v>5834</v>
      </c>
    </row>
    <row r="3867" spans="1:1">
      <c r="A3867" s="151" t="s">
        <v>5835</v>
      </c>
    </row>
    <row r="3868" spans="1:1">
      <c r="A3868" s="151" t="s">
        <v>5836</v>
      </c>
    </row>
    <row r="3869" spans="1:1">
      <c r="A3869" s="151" t="s">
        <v>5837</v>
      </c>
    </row>
    <row r="3870" spans="1:1">
      <c r="A3870" s="151" t="s">
        <v>5838</v>
      </c>
    </row>
    <row r="3871" spans="1:1">
      <c r="A3871" s="151" t="s">
        <v>5839</v>
      </c>
    </row>
    <row r="3872" spans="1:1">
      <c r="A3872" s="151" t="s">
        <v>5840</v>
      </c>
    </row>
    <row r="3873" spans="1:1">
      <c r="A3873" s="151" t="s">
        <v>5841</v>
      </c>
    </row>
    <row r="3874" spans="1:1">
      <c r="A3874" s="151" t="s">
        <v>5842</v>
      </c>
    </row>
    <row r="3875" spans="1:1">
      <c r="A3875" s="151" t="s">
        <v>5843</v>
      </c>
    </row>
    <row r="3876" spans="1:1">
      <c r="A3876" s="151" t="s">
        <v>5844</v>
      </c>
    </row>
    <row r="3877" spans="1:1">
      <c r="A3877" s="151" t="s">
        <v>5845</v>
      </c>
    </row>
    <row r="3878" spans="1:1">
      <c r="A3878" s="151" t="s">
        <v>5846</v>
      </c>
    </row>
    <row r="3879" spans="1:1">
      <c r="A3879" s="151" t="s">
        <v>5847</v>
      </c>
    </row>
    <row r="3880" spans="1:1">
      <c r="A3880" s="151" t="s">
        <v>5848</v>
      </c>
    </row>
    <row r="3881" spans="1:1">
      <c r="A3881" s="151" t="s">
        <v>5849</v>
      </c>
    </row>
    <row r="3882" spans="1:1">
      <c r="A3882" s="151" t="s">
        <v>5850</v>
      </c>
    </row>
    <row r="3883" spans="1:1">
      <c r="A3883" s="151" t="s">
        <v>5851</v>
      </c>
    </row>
    <row r="3884" spans="1:1">
      <c r="A3884" s="151" t="s">
        <v>5852</v>
      </c>
    </row>
    <row r="3885" spans="1:1">
      <c r="A3885" s="151" t="s">
        <v>5853</v>
      </c>
    </row>
    <row r="3886" spans="1:1">
      <c r="A3886" s="151" t="s">
        <v>5854</v>
      </c>
    </row>
    <row r="3887" spans="1:1">
      <c r="A3887" s="151" t="s">
        <v>5855</v>
      </c>
    </row>
    <row r="3888" spans="1:1">
      <c r="A3888" s="151" t="s">
        <v>5856</v>
      </c>
    </row>
    <row r="3889" spans="1:1">
      <c r="A3889" s="151" t="s">
        <v>5857</v>
      </c>
    </row>
    <row r="3890" spans="1:1">
      <c r="A3890" s="151" t="s">
        <v>5858</v>
      </c>
    </row>
    <row r="3891" spans="1:1">
      <c r="A3891" s="151" t="s">
        <v>5859</v>
      </c>
    </row>
    <row r="3892" spans="1:1">
      <c r="A3892" s="151" t="s">
        <v>5860</v>
      </c>
    </row>
    <row r="3893" spans="1:1">
      <c r="A3893" s="151" t="s">
        <v>5861</v>
      </c>
    </row>
    <row r="3894" spans="1:1">
      <c r="A3894" s="151" t="s">
        <v>5862</v>
      </c>
    </row>
    <row r="3895" spans="1:1">
      <c r="A3895" s="151" t="s">
        <v>5863</v>
      </c>
    </row>
    <row r="3896" spans="1:1">
      <c r="A3896" s="151" t="s">
        <v>5864</v>
      </c>
    </row>
    <row r="3897" spans="1:1">
      <c r="A3897" s="151" t="s">
        <v>5865</v>
      </c>
    </row>
    <row r="3898" spans="1:1">
      <c r="A3898" s="151" t="s">
        <v>5866</v>
      </c>
    </row>
    <row r="3899" spans="1:1">
      <c r="A3899" s="151" t="s">
        <v>5867</v>
      </c>
    </row>
    <row r="3900" spans="1:1">
      <c r="A3900" s="151" t="s">
        <v>5868</v>
      </c>
    </row>
    <row r="3901" spans="1:1">
      <c r="A3901" s="151" t="s">
        <v>5869</v>
      </c>
    </row>
    <row r="3902" spans="1:1">
      <c r="A3902" s="151" t="s">
        <v>5870</v>
      </c>
    </row>
    <row r="3903" spans="1:1">
      <c r="A3903" s="151" t="s">
        <v>5871</v>
      </c>
    </row>
    <row r="3904" spans="1:1">
      <c r="A3904" s="151" t="s">
        <v>5872</v>
      </c>
    </row>
    <row r="3905" spans="1:1">
      <c r="A3905" s="151" t="s">
        <v>5873</v>
      </c>
    </row>
    <row r="3906" spans="1:1">
      <c r="A3906" s="151" t="s">
        <v>5874</v>
      </c>
    </row>
    <row r="3907" spans="1:1">
      <c r="A3907" s="151" t="s">
        <v>5875</v>
      </c>
    </row>
    <row r="3908" spans="1:1">
      <c r="A3908" s="151" t="s">
        <v>5876</v>
      </c>
    </row>
    <row r="3909" spans="1:1">
      <c r="A3909" s="151" t="s">
        <v>5877</v>
      </c>
    </row>
    <row r="3910" spans="1:1">
      <c r="A3910" s="151" t="s">
        <v>5878</v>
      </c>
    </row>
    <row r="3911" spans="1:1">
      <c r="A3911" s="151" t="s">
        <v>5879</v>
      </c>
    </row>
    <row r="3912" spans="1:1">
      <c r="A3912" s="151" t="s">
        <v>5880</v>
      </c>
    </row>
    <row r="3913" spans="1:1">
      <c r="A3913" s="151" t="s">
        <v>5881</v>
      </c>
    </row>
    <row r="3914" spans="1:1">
      <c r="A3914" s="151" t="s">
        <v>5882</v>
      </c>
    </row>
    <row r="3915" spans="1:1">
      <c r="A3915" s="151" t="s">
        <v>5883</v>
      </c>
    </row>
    <row r="3916" spans="1:1">
      <c r="A3916" s="151" t="s">
        <v>5884</v>
      </c>
    </row>
    <row r="3917" spans="1:1">
      <c r="A3917" s="151" t="s">
        <v>5885</v>
      </c>
    </row>
    <row r="3918" spans="1:1">
      <c r="A3918" s="151" t="s">
        <v>5886</v>
      </c>
    </row>
    <row r="3919" spans="1:1">
      <c r="A3919" s="151" t="s">
        <v>5887</v>
      </c>
    </row>
    <row r="3920" spans="1:1">
      <c r="A3920" s="151" t="s">
        <v>5888</v>
      </c>
    </row>
    <row r="3921" spans="1:1">
      <c r="A3921" s="151" t="s">
        <v>5889</v>
      </c>
    </row>
    <row r="3922" spans="1:1">
      <c r="A3922" s="151" t="s">
        <v>5890</v>
      </c>
    </row>
    <row r="3923" spans="1:1">
      <c r="A3923" s="151" t="s">
        <v>5891</v>
      </c>
    </row>
    <row r="3924" spans="1:1">
      <c r="A3924" s="151" t="s">
        <v>5892</v>
      </c>
    </row>
    <row r="3925" spans="1:1">
      <c r="A3925" s="151" t="s">
        <v>5893</v>
      </c>
    </row>
    <row r="3926" spans="1:1">
      <c r="A3926" s="151" t="s">
        <v>5894</v>
      </c>
    </row>
    <row r="3927" spans="1:1">
      <c r="A3927" s="151" t="s">
        <v>5895</v>
      </c>
    </row>
    <row r="3928" spans="1:1">
      <c r="A3928" s="151" t="s">
        <v>5896</v>
      </c>
    </row>
    <row r="3929" spans="1:1">
      <c r="A3929" s="151" t="s">
        <v>5897</v>
      </c>
    </row>
    <row r="3930" spans="1:1">
      <c r="A3930" s="151" t="s">
        <v>5898</v>
      </c>
    </row>
    <row r="3931" spans="1:1">
      <c r="A3931" s="151" t="s">
        <v>5899</v>
      </c>
    </row>
    <row r="3932" spans="1:1">
      <c r="A3932" s="151" t="s">
        <v>5900</v>
      </c>
    </row>
    <row r="3933" spans="1:1">
      <c r="A3933" s="151" t="s">
        <v>5901</v>
      </c>
    </row>
    <row r="3934" spans="1:1">
      <c r="A3934" s="151" t="s">
        <v>5902</v>
      </c>
    </row>
    <row r="3935" spans="1:1">
      <c r="A3935" s="151" t="s">
        <v>5903</v>
      </c>
    </row>
    <row r="3936" spans="1:1">
      <c r="A3936" s="151" t="s">
        <v>5904</v>
      </c>
    </row>
    <row r="3937" spans="1:1">
      <c r="A3937" s="151" t="s">
        <v>5905</v>
      </c>
    </row>
    <row r="3938" spans="1:1">
      <c r="A3938" s="151" t="s">
        <v>5906</v>
      </c>
    </row>
    <row r="3939" spans="1:1">
      <c r="A3939" s="151" t="s">
        <v>5907</v>
      </c>
    </row>
    <row r="3940" spans="1:1">
      <c r="A3940" s="151" t="s">
        <v>5908</v>
      </c>
    </row>
    <row r="3941" spans="1:1">
      <c r="A3941" s="151" t="s">
        <v>5909</v>
      </c>
    </row>
    <row r="3942" spans="1:1">
      <c r="A3942" s="151" t="s">
        <v>5910</v>
      </c>
    </row>
    <row r="3943" spans="1:1">
      <c r="A3943" s="151" t="s">
        <v>5911</v>
      </c>
    </row>
    <row r="3944" spans="1:1">
      <c r="A3944" s="151" t="s">
        <v>5912</v>
      </c>
    </row>
    <row r="3945" spans="1:1">
      <c r="A3945" s="151" t="s">
        <v>5913</v>
      </c>
    </row>
    <row r="3946" spans="1:1">
      <c r="A3946" s="151" t="s">
        <v>5914</v>
      </c>
    </row>
    <row r="3947" spans="1:1">
      <c r="A3947" s="151" t="s">
        <v>5915</v>
      </c>
    </row>
    <row r="3948" spans="1:1">
      <c r="A3948" s="151" t="s">
        <v>5916</v>
      </c>
    </row>
    <row r="3949" spans="1:1">
      <c r="A3949" s="151" t="s">
        <v>5917</v>
      </c>
    </row>
    <row r="3950" spans="1:1">
      <c r="A3950" s="151" t="s">
        <v>5918</v>
      </c>
    </row>
    <row r="3951" spans="1:1">
      <c r="A3951" s="151" t="s">
        <v>5919</v>
      </c>
    </row>
    <row r="3952" spans="1:1">
      <c r="A3952" s="151" t="s">
        <v>5920</v>
      </c>
    </row>
    <row r="3953" spans="1:1">
      <c r="A3953" s="151" t="s">
        <v>5921</v>
      </c>
    </row>
    <row r="3954" spans="1:1">
      <c r="A3954" s="151" t="s">
        <v>5922</v>
      </c>
    </row>
    <row r="3955" spans="1:1">
      <c r="A3955" s="151" t="s">
        <v>5923</v>
      </c>
    </row>
    <row r="3956" spans="1:1">
      <c r="A3956" s="151" t="s">
        <v>5924</v>
      </c>
    </row>
    <row r="3957" spans="1:1">
      <c r="A3957" s="151" t="s">
        <v>5925</v>
      </c>
    </row>
    <row r="3958" spans="1:1">
      <c r="A3958" s="151" t="s">
        <v>5926</v>
      </c>
    </row>
    <row r="3959" spans="1:1">
      <c r="A3959" s="151" t="s">
        <v>5927</v>
      </c>
    </row>
    <row r="3960" spans="1:1">
      <c r="A3960" s="151" t="s">
        <v>5928</v>
      </c>
    </row>
    <row r="3961" spans="1:1">
      <c r="A3961" s="151" t="s">
        <v>5929</v>
      </c>
    </row>
    <row r="3962" spans="1:1">
      <c r="A3962" s="151" t="s">
        <v>5930</v>
      </c>
    </row>
    <row r="3963" spans="1:1">
      <c r="A3963" s="151" t="s">
        <v>5931</v>
      </c>
    </row>
    <row r="3964" spans="1:1">
      <c r="A3964" s="151" t="s">
        <v>5932</v>
      </c>
    </row>
    <row r="3965" spans="1:1">
      <c r="A3965" s="151" t="s">
        <v>5933</v>
      </c>
    </row>
    <row r="3966" spans="1:1">
      <c r="A3966" s="151" t="s">
        <v>5934</v>
      </c>
    </row>
    <row r="3967" spans="1:1">
      <c r="A3967" s="151" t="s">
        <v>5935</v>
      </c>
    </row>
    <row r="3968" spans="1:1">
      <c r="A3968" s="151" t="s">
        <v>5936</v>
      </c>
    </row>
    <row r="3969" spans="1:1">
      <c r="A3969" s="151" t="s">
        <v>5937</v>
      </c>
    </row>
    <row r="3970" spans="1:1">
      <c r="A3970" s="151" t="s">
        <v>5938</v>
      </c>
    </row>
    <row r="3971" spans="1:1">
      <c r="A3971" s="151" t="s">
        <v>5939</v>
      </c>
    </row>
    <row r="3972" spans="1:1">
      <c r="A3972" s="151" t="s">
        <v>5940</v>
      </c>
    </row>
    <row r="3973" spans="1:1">
      <c r="A3973" s="151" t="s">
        <v>5941</v>
      </c>
    </row>
    <row r="3974" spans="1:1">
      <c r="A3974" s="151" t="s">
        <v>5942</v>
      </c>
    </row>
    <row r="3975" spans="1:1">
      <c r="A3975" s="151" t="s">
        <v>5943</v>
      </c>
    </row>
    <row r="3976" spans="1:1">
      <c r="A3976" s="151" t="s">
        <v>5944</v>
      </c>
    </row>
    <row r="3977" spans="1:1">
      <c r="A3977" s="151" t="s">
        <v>5945</v>
      </c>
    </row>
    <row r="3978" spans="1:1">
      <c r="A3978" s="151" t="s">
        <v>5946</v>
      </c>
    </row>
    <row r="3979" spans="1:1">
      <c r="A3979" s="151" t="s">
        <v>5947</v>
      </c>
    </row>
    <row r="3980" spans="1:1">
      <c r="A3980" s="151" t="s">
        <v>5948</v>
      </c>
    </row>
    <row r="3981" spans="1:1">
      <c r="A3981" s="151" t="s">
        <v>5949</v>
      </c>
    </row>
    <row r="3982" spans="1:1">
      <c r="A3982" s="151" t="s">
        <v>5950</v>
      </c>
    </row>
    <row r="3983" spans="1:1">
      <c r="A3983" s="151" t="s">
        <v>5951</v>
      </c>
    </row>
    <row r="3984" spans="1:1">
      <c r="A3984" s="151" t="s">
        <v>5952</v>
      </c>
    </row>
    <row r="3985" spans="1:1">
      <c r="A3985" s="151" t="s">
        <v>5953</v>
      </c>
    </row>
    <row r="3986" spans="1:1">
      <c r="A3986" s="151" t="s">
        <v>5954</v>
      </c>
    </row>
    <row r="3987" spans="1:1">
      <c r="A3987" s="151" t="s">
        <v>5955</v>
      </c>
    </row>
    <row r="3988" spans="1:1">
      <c r="A3988" s="151" t="s">
        <v>5956</v>
      </c>
    </row>
    <row r="3989" spans="1:1">
      <c r="A3989" s="151" t="s">
        <v>5957</v>
      </c>
    </row>
    <row r="3990" spans="1:1">
      <c r="A3990" s="151" t="s">
        <v>5958</v>
      </c>
    </row>
    <row r="3991" spans="1:1">
      <c r="A3991" s="151" t="s">
        <v>5959</v>
      </c>
    </row>
    <row r="3992" spans="1:1">
      <c r="A3992" s="151" t="s">
        <v>5960</v>
      </c>
    </row>
    <row r="3993" spans="1:1">
      <c r="A3993" s="151" t="s">
        <v>5961</v>
      </c>
    </row>
    <row r="3994" spans="1:1">
      <c r="A3994" s="151" t="s">
        <v>5962</v>
      </c>
    </row>
    <row r="3995" spans="1:1">
      <c r="A3995" s="151" t="s">
        <v>5963</v>
      </c>
    </row>
    <row r="3996" spans="1:1">
      <c r="A3996" s="151" t="s">
        <v>5964</v>
      </c>
    </row>
    <row r="3997" spans="1:1">
      <c r="A3997" s="151" t="s">
        <v>5965</v>
      </c>
    </row>
    <row r="3998" spans="1:1">
      <c r="A3998" s="151" t="s">
        <v>5966</v>
      </c>
    </row>
    <row r="3999" spans="1:1">
      <c r="A3999" s="151" t="s">
        <v>5967</v>
      </c>
    </row>
    <row r="4000" spans="1:1">
      <c r="A4000" s="151" t="s">
        <v>5968</v>
      </c>
    </row>
    <row r="4001" spans="1:1">
      <c r="A4001" s="151" t="s">
        <v>5969</v>
      </c>
    </row>
    <row r="4002" spans="1:1">
      <c r="A4002" s="151" t="s">
        <v>5970</v>
      </c>
    </row>
    <row r="4003" spans="1:1">
      <c r="A4003" s="151" t="s">
        <v>5971</v>
      </c>
    </row>
    <row r="4004" spans="1:1">
      <c r="A4004" s="151" t="s">
        <v>5972</v>
      </c>
    </row>
    <row r="4005" spans="1:1">
      <c r="A4005" s="151" t="s">
        <v>5973</v>
      </c>
    </row>
    <row r="4006" spans="1:1">
      <c r="A4006" s="151" t="s">
        <v>5974</v>
      </c>
    </row>
    <row r="4007" spans="1:1">
      <c r="A4007" s="151" t="s">
        <v>5975</v>
      </c>
    </row>
    <row r="4008" spans="1:1">
      <c r="A4008" s="151" t="s">
        <v>5976</v>
      </c>
    </row>
    <row r="4009" spans="1:1">
      <c r="A4009" s="151" t="s">
        <v>5977</v>
      </c>
    </row>
    <row r="4010" spans="1:1">
      <c r="A4010" s="151" t="s">
        <v>5978</v>
      </c>
    </row>
    <row r="4011" spans="1:1">
      <c r="A4011" s="151" t="s">
        <v>5979</v>
      </c>
    </row>
    <row r="4012" spans="1:1">
      <c r="A4012" s="151" t="s">
        <v>5980</v>
      </c>
    </row>
    <row r="4013" spans="1:1">
      <c r="A4013" s="151" t="s">
        <v>5981</v>
      </c>
    </row>
    <row r="4014" spans="1:1">
      <c r="A4014" s="151" t="s">
        <v>5982</v>
      </c>
    </row>
    <row r="4015" spans="1:1">
      <c r="A4015" s="151" t="s">
        <v>5983</v>
      </c>
    </row>
    <row r="4016" spans="1:1">
      <c r="A4016" s="151" t="s">
        <v>5984</v>
      </c>
    </row>
    <row r="4017" spans="1:1">
      <c r="A4017" s="151" t="s">
        <v>5985</v>
      </c>
    </row>
    <row r="4018" spans="1:1">
      <c r="A4018" s="151" t="s">
        <v>5986</v>
      </c>
    </row>
    <row r="4019" spans="1:1">
      <c r="A4019" s="151" t="s">
        <v>5987</v>
      </c>
    </row>
    <row r="4020" spans="1:1">
      <c r="A4020" s="151" t="s">
        <v>5988</v>
      </c>
    </row>
    <row r="4021" spans="1:1">
      <c r="A4021" s="151" t="s">
        <v>5989</v>
      </c>
    </row>
    <row r="4022" spans="1:1">
      <c r="A4022" s="151" t="s">
        <v>5990</v>
      </c>
    </row>
    <row r="4023" spans="1:1">
      <c r="A4023" s="151" t="s">
        <v>5991</v>
      </c>
    </row>
    <row r="4024" spans="1:1">
      <c r="A4024" s="151" t="s">
        <v>5992</v>
      </c>
    </row>
    <row r="4025" spans="1:1">
      <c r="A4025" s="151" t="s">
        <v>5993</v>
      </c>
    </row>
    <row r="4026" spans="1:1">
      <c r="A4026" s="151" t="s">
        <v>5994</v>
      </c>
    </row>
    <row r="4027" spans="1:1">
      <c r="A4027" s="151" t="s">
        <v>5995</v>
      </c>
    </row>
    <row r="4028" spans="1:1">
      <c r="A4028" s="151" t="s">
        <v>5996</v>
      </c>
    </row>
    <row r="4029" spans="1:1">
      <c r="A4029" s="151" t="s">
        <v>5997</v>
      </c>
    </row>
    <row r="4030" spans="1:1">
      <c r="A4030" s="151" t="s">
        <v>5998</v>
      </c>
    </row>
    <row r="4031" spans="1:1">
      <c r="A4031" s="151" t="s">
        <v>5999</v>
      </c>
    </row>
    <row r="4032" spans="1:1">
      <c r="A4032" s="151" t="s">
        <v>6000</v>
      </c>
    </row>
    <row r="4033" spans="1:1">
      <c r="A4033" s="151" t="s">
        <v>6001</v>
      </c>
    </row>
    <row r="4034" spans="1:1">
      <c r="A4034" s="151" t="s">
        <v>6002</v>
      </c>
    </row>
    <row r="4035" spans="1:1">
      <c r="A4035" s="151" t="s">
        <v>6003</v>
      </c>
    </row>
    <row r="4036" spans="1:1">
      <c r="A4036" s="151" t="s">
        <v>6004</v>
      </c>
    </row>
    <row r="4037" spans="1:1">
      <c r="A4037" s="151" t="s">
        <v>6005</v>
      </c>
    </row>
    <row r="4038" spans="1:1">
      <c r="A4038" s="151" t="s">
        <v>6006</v>
      </c>
    </row>
    <row r="4039" spans="1:1">
      <c r="A4039" s="151" t="s">
        <v>6007</v>
      </c>
    </row>
    <row r="4040" spans="1:1">
      <c r="A4040" s="151" t="s">
        <v>6008</v>
      </c>
    </row>
    <row r="4041" spans="1:1">
      <c r="A4041" s="151" t="s">
        <v>6009</v>
      </c>
    </row>
    <row r="4042" spans="1:1">
      <c r="A4042" s="151" t="s">
        <v>6010</v>
      </c>
    </row>
    <row r="4043" spans="1:1">
      <c r="A4043" s="151" t="s">
        <v>6011</v>
      </c>
    </row>
    <row r="4044" spans="1:1">
      <c r="A4044" s="151" t="s">
        <v>6012</v>
      </c>
    </row>
    <row r="4045" spans="1:1">
      <c r="A4045" s="151" t="s">
        <v>6013</v>
      </c>
    </row>
    <row r="4046" spans="1:1">
      <c r="A4046" s="151" t="s">
        <v>6014</v>
      </c>
    </row>
    <row r="4047" spans="1:1">
      <c r="A4047" s="151" t="s">
        <v>6015</v>
      </c>
    </row>
    <row r="4048" spans="1:1">
      <c r="A4048" s="151" t="s">
        <v>6016</v>
      </c>
    </row>
    <row r="4049" spans="1:1">
      <c r="A4049" s="151" t="s">
        <v>6017</v>
      </c>
    </row>
    <row r="4050" spans="1:1">
      <c r="A4050" s="151" t="s">
        <v>6018</v>
      </c>
    </row>
    <row r="4051" spans="1:1">
      <c r="A4051" s="151" t="s">
        <v>6019</v>
      </c>
    </row>
    <row r="4052" spans="1:1">
      <c r="A4052" s="151" t="s">
        <v>6020</v>
      </c>
    </row>
    <row r="4053" spans="1:1">
      <c r="A4053" s="151" t="s">
        <v>6021</v>
      </c>
    </row>
    <row r="4054" spans="1:1">
      <c r="A4054" s="151" t="s">
        <v>6022</v>
      </c>
    </row>
    <row r="4055" spans="1:1">
      <c r="A4055" s="151" t="s">
        <v>6023</v>
      </c>
    </row>
    <row r="4056" spans="1:1">
      <c r="A4056" s="151" t="s">
        <v>6024</v>
      </c>
    </row>
    <row r="4057" spans="1:1">
      <c r="A4057" s="151" t="s">
        <v>6025</v>
      </c>
    </row>
    <row r="4058" spans="1:1">
      <c r="A4058" s="151" t="s">
        <v>6026</v>
      </c>
    </row>
    <row r="4059" spans="1:1">
      <c r="A4059" s="151" t="s">
        <v>6027</v>
      </c>
    </row>
    <row r="4060" spans="1:1">
      <c r="A4060" s="151" t="s">
        <v>6028</v>
      </c>
    </row>
    <row r="4061" spans="1:1">
      <c r="A4061" s="151" t="s">
        <v>6029</v>
      </c>
    </row>
    <row r="4062" spans="1:1">
      <c r="A4062" s="151" t="s">
        <v>6030</v>
      </c>
    </row>
    <row r="4063" spans="1:1">
      <c r="A4063" s="151" t="s">
        <v>6031</v>
      </c>
    </row>
    <row r="4064" spans="1:1">
      <c r="A4064" s="151" t="s">
        <v>6032</v>
      </c>
    </row>
    <row r="4065" spans="1:1">
      <c r="A4065" s="151" t="s">
        <v>6033</v>
      </c>
    </row>
    <row r="4066" spans="1:1">
      <c r="A4066" s="151" t="s">
        <v>6034</v>
      </c>
    </row>
    <row r="4067" spans="1:1">
      <c r="A4067" s="151" t="s">
        <v>6035</v>
      </c>
    </row>
    <row r="4068" spans="1:1">
      <c r="A4068" s="151" t="s">
        <v>6036</v>
      </c>
    </row>
    <row r="4069" spans="1:1">
      <c r="A4069" s="151" t="s">
        <v>6037</v>
      </c>
    </row>
    <row r="4070" spans="1:1">
      <c r="A4070" s="151" t="s">
        <v>6038</v>
      </c>
    </row>
    <row r="4071" spans="1:1">
      <c r="A4071" s="151" t="s">
        <v>6039</v>
      </c>
    </row>
    <row r="4072" spans="1:1">
      <c r="A4072" s="151" t="s">
        <v>6040</v>
      </c>
    </row>
    <row r="4073" spans="1:1">
      <c r="A4073" s="151" t="s">
        <v>6041</v>
      </c>
    </row>
    <row r="4074" spans="1:1">
      <c r="A4074" s="151" t="s">
        <v>6042</v>
      </c>
    </row>
    <row r="4075" spans="1:1">
      <c r="A4075" s="151" t="s">
        <v>6043</v>
      </c>
    </row>
    <row r="4076" spans="1:1">
      <c r="A4076" s="151" t="s">
        <v>6044</v>
      </c>
    </row>
    <row r="4077" spans="1:1">
      <c r="A4077" s="151" t="s">
        <v>6045</v>
      </c>
    </row>
    <row r="4078" spans="1:1">
      <c r="A4078" s="151" t="s">
        <v>6046</v>
      </c>
    </row>
    <row r="4079" spans="1:1">
      <c r="A4079" s="151" t="s">
        <v>6047</v>
      </c>
    </row>
    <row r="4080" spans="1:1">
      <c r="A4080" s="151" t="s">
        <v>6048</v>
      </c>
    </row>
    <row r="4081" spans="1:1">
      <c r="A4081" s="151" t="s">
        <v>6049</v>
      </c>
    </row>
    <row r="4082" spans="1:1">
      <c r="A4082" s="151" t="s">
        <v>6050</v>
      </c>
    </row>
    <row r="4083" spans="1:1">
      <c r="A4083" s="151" t="s">
        <v>6051</v>
      </c>
    </row>
    <row r="4084" spans="1:1">
      <c r="A4084" s="151" t="s">
        <v>6052</v>
      </c>
    </row>
    <row r="4085" spans="1:1">
      <c r="A4085" s="151" t="s">
        <v>6053</v>
      </c>
    </row>
    <row r="4086" spans="1:1">
      <c r="A4086" s="151" t="s">
        <v>6054</v>
      </c>
    </row>
    <row r="4087" spans="1:1">
      <c r="A4087" s="151" t="s">
        <v>6055</v>
      </c>
    </row>
    <row r="4088" spans="1:1">
      <c r="A4088" s="151" t="s">
        <v>6056</v>
      </c>
    </row>
    <row r="4089" spans="1:1">
      <c r="A4089" s="151" t="s">
        <v>6057</v>
      </c>
    </row>
    <row r="4090" spans="1:1">
      <c r="A4090" s="151" t="s">
        <v>6058</v>
      </c>
    </row>
    <row r="4091" spans="1:1">
      <c r="A4091" s="151" t="s">
        <v>6059</v>
      </c>
    </row>
    <row r="4092" spans="1:1">
      <c r="A4092" s="151" t="s">
        <v>6060</v>
      </c>
    </row>
    <row r="4093" spans="1:1">
      <c r="A4093" s="151" t="s">
        <v>6061</v>
      </c>
    </row>
    <row r="4094" spans="1:1">
      <c r="A4094" s="151" t="s">
        <v>6062</v>
      </c>
    </row>
    <row r="4095" spans="1:1">
      <c r="A4095" s="151" t="s">
        <v>6063</v>
      </c>
    </row>
    <row r="4096" spans="1:1">
      <c r="A4096" s="151" t="s">
        <v>6064</v>
      </c>
    </row>
    <row r="4097" spans="1:1">
      <c r="A4097" s="151" t="s">
        <v>6065</v>
      </c>
    </row>
    <row r="4098" spans="1:1">
      <c r="A4098" s="151" t="s">
        <v>6066</v>
      </c>
    </row>
    <row r="4099" spans="1:1">
      <c r="A4099" s="151" t="s">
        <v>6067</v>
      </c>
    </row>
    <row r="4100" spans="1:1">
      <c r="A4100" s="151" t="s">
        <v>6068</v>
      </c>
    </row>
    <row r="4101" spans="1:1">
      <c r="A4101" s="151" t="s">
        <v>6069</v>
      </c>
    </row>
    <row r="4102" spans="1:1">
      <c r="A4102" s="151" t="s">
        <v>6070</v>
      </c>
    </row>
    <row r="4103" spans="1:1">
      <c r="A4103" s="151" t="s">
        <v>6071</v>
      </c>
    </row>
    <row r="4104" spans="1:1">
      <c r="A4104" s="151" t="s">
        <v>6072</v>
      </c>
    </row>
    <row r="4105" spans="1:1">
      <c r="A4105" s="151" t="s">
        <v>6073</v>
      </c>
    </row>
    <row r="4106" spans="1:1">
      <c r="A4106" s="151" t="s">
        <v>6074</v>
      </c>
    </row>
    <row r="4107" spans="1:1">
      <c r="A4107" s="151" t="s">
        <v>6075</v>
      </c>
    </row>
    <row r="4108" spans="1:1">
      <c r="A4108" s="151" t="s">
        <v>6076</v>
      </c>
    </row>
    <row r="4109" spans="1:1">
      <c r="A4109" s="151" t="s">
        <v>6077</v>
      </c>
    </row>
    <row r="4110" spans="1:1">
      <c r="A4110" s="151" t="s">
        <v>6078</v>
      </c>
    </row>
    <row r="4111" spans="1:1">
      <c r="A4111" s="151" t="s">
        <v>6079</v>
      </c>
    </row>
    <row r="4112" spans="1:1">
      <c r="A4112" s="151" t="s">
        <v>6080</v>
      </c>
    </row>
    <row r="4113" spans="1:1">
      <c r="A4113" s="151" t="s">
        <v>6081</v>
      </c>
    </row>
    <row r="4114" spans="1:1">
      <c r="A4114" s="151" t="s">
        <v>6082</v>
      </c>
    </row>
    <row r="4115" spans="1:1">
      <c r="A4115" s="151" t="s">
        <v>6083</v>
      </c>
    </row>
    <row r="4116" spans="1:1">
      <c r="A4116" s="151" t="s">
        <v>6084</v>
      </c>
    </row>
    <row r="4117" spans="1:1">
      <c r="A4117" s="151" t="s">
        <v>6085</v>
      </c>
    </row>
    <row r="4118" spans="1:1">
      <c r="A4118" s="151" t="s">
        <v>6086</v>
      </c>
    </row>
    <row r="4119" spans="1:1">
      <c r="A4119" s="151" t="s">
        <v>6087</v>
      </c>
    </row>
    <row r="4120" spans="1:1">
      <c r="A4120" s="151" t="s">
        <v>6088</v>
      </c>
    </row>
    <row r="4121" spans="1:1">
      <c r="A4121" s="151" t="s">
        <v>6089</v>
      </c>
    </row>
    <row r="4122" spans="1:1">
      <c r="A4122" s="151" t="s">
        <v>6090</v>
      </c>
    </row>
    <row r="4123" spans="1:1">
      <c r="A4123" s="151" t="s">
        <v>6091</v>
      </c>
    </row>
    <row r="4124" spans="1:1">
      <c r="A4124" s="151" t="s">
        <v>6092</v>
      </c>
    </row>
    <row r="4125" spans="1:1">
      <c r="A4125" s="151" t="s">
        <v>6093</v>
      </c>
    </row>
    <row r="4126" spans="1:1">
      <c r="A4126" s="151" t="s">
        <v>6094</v>
      </c>
    </row>
    <row r="4127" spans="1:1">
      <c r="A4127" s="151" t="s">
        <v>6095</v>
      </c>
    </row>
    <row r="4128" spans="1:1">
      <c r="A4128" s="151" t="s">
        <v>6096</v>
      </c>
    </row>
    <row r="4129" spans="1:1">
      <c r="A4129" s="151" t="s">
        <v>6097</v>
      </c>
    </row>
    <row r="4130" spans="1:1">
      <c r="A4130" s="151" t="s">
        <v>6098</v>
      </c>
    </row>
    <row r="4131" spans="1:1">
      <c r="A4131" s="151" t="s">
        <v>6099</v>
      </c>
    </row>
    <row r="4132" spans="1:1">
      <c r="A4132" s="151" t="s">
        <v>6100</v>
      </c>
    </row>
    <row r="4133" spans="1:1">
      <c r="A4133" s="151" t="s">
        <v>6101</v>
      </c>
    </row>
    <row r="4134" spans="1:1">
      <c r="A4134" s="151" t="s">
        <v>6102</v>
      </c>
    </row>
    <row r="4135" spans="1:1">
      <c r="A4135" s="151" t="s">
        <v>6103</v>
      </c>
    </row>
    <row r="4136" spans="1:1">
      <c r="A4136" s="151" t="s">
        <v>6104</v>
      </c>
    </row>
    <row r="4137" spans="1:1">
      <c r="A4137" s="151" t="s">
        <v>6105</v>
      </c>
    </row>
    <row r="4138" spans="1:1">
      <c r="A4138" s="151" t="s">
        <v>6106</v>
      </c>
    </row>
    <row r="4139" spans="1:1">
      <c r="A4139" s="151" t="s">
        <v>6107</v>
      </c>
    </row>
    <row r="4140" spans="1:1">
      <c r="A4140" s="151" t="s">
        <v>6108</v>
      </c>
    </row>
    <row r="4141" spans="1:1">
      <c r="A4141" s="151" t="s">
        <v>6109</v>
      </c>
    </row>
    <row r="4142" spans="1:1">
      <c r="A4142" s="151" t="s">
        <v>6110</v>
      </c>
    </row>
    <row r="4143" spans="1:1">
      <c r="A4143" s="151" t="s">
        <v>6111</v>
      </c>
    </row>
    <row r="4144" spans="1:1">
      <c r="A4144" s="151" t="s">
        <v>6112</v>
      </c>
    </row>
    <row r="4145" spans="1:1">
      <c r="A4145" s="151" t="s">
        <v>6113</v>
      </c>
    </row>
    <row r="4146" spans="1:1">
      <c r="A4146" s="151" t="s">
        <v>6114</v>
      </c>
    </row>
    <row r="4147" spans="1:1">
      <c r="A4147" s="151" t="s">
        <v>6115</v>
      </c>
    </row>
    <row r="4148" spans="1:1">
      <c r="A4148" s="151" t="s">
        <v>6116</v>
      </c>
    </row>
    <row r="4149" spans="1:1">
      <c r="A4149" s="151" t="s">
        <v>6117</v>
      </c>
    </row>
    <row r="4150" spans="1:1">
      <c r="A4150" s="151" t="s">
        <v>6118</v>
      </c>
    </row>
    <row r="4151" spans="1:1">
      <c r="A4151" s="151" t="s">
        <v>6119</v>
      </c>
    </row>
    <row r="4152" spans="1:1">
      <c r="A4152" s="151" t="s">
        <v>6120</v>
      </c>
    </row>
    <row r="4153" spans="1:1">
      <c r="A4153" s="151" t="s">
        <v>6121</v>
      </c>
    </row>
    <row r="4154" spans="1:1">
      <c r="A4154" s="151" t="s">
        <v>6122</v>
      </c>
    </row>
    <row r="4155" spans="1:1">
      <c r="A4155" s="151" t="s">
        <v>6123</v>
      </c>
    </row>
    <row r="4156" spans="1:1">
      <c r="A4156" s="151" t="s">
        <v>6124</v>
      </c>
    </row>
    <row r="4157" spans="1:1">
      <c r="A4157" s="151" t="s">
        <v>6125</v>
      </c>
    </row>
    <row r="4158" spans="1:1">
      <c r="A4158" s="151" t="s">
        <v>6126</v>
      </c>
    </row>
    <row r="4159" spans="1:1">
      <c r="A4159" s="151" t="s">
        <v>6127</v>
      </c>
    </row>
    <row r="4160" spans="1:1">
      <c r="A4160" s="151" t="s">
        <v>6128</v>
      </c>
    </row>
    <row r="4161" spans="1:1">
      <c r="A4161" s="151" t="s">
        <v>6129</v>
      </c>
    </row>
    <row r="4162" spans="1:1">
      <c r="A4162" s="151" t="s">
        <v>6130</v>
      </c>
    </row>
    <row r="4163" spans="1:1">
      <c r="A4163" s="151" t="s">
        <v>6131</v>
      </c>
    </row>
    <row r="4164" spans="1:1">
      <c r="A4164" s="151" t="s">
        <v>6132</v>
      </c>
    </row>
    <row r="4165" spans="1:1">
      <c r="A4165" s="151" t="s">
        <v>6133</v>
      </c>
    </row>
    <row r="4166" spans="1:1">
      <c r="A4166" s="151" t="s">
        <v>6134</v>
      </c>
    </row>
    <row r="4167" spans="1:1">
      <c r="A4167" s="151" t="s">
        <v>6135</v>
      </c>
    </row>
    <row r="4168" spans="1:1">
      <c r="A4168" s="151" t="s">
        <v>6136</v>
      </c>
    </row>
    <row r="4169" spans="1:1">
      <c r="A4169" s="151" t="s">
        <v>6137</v>
      </c>
    </row>
    <row r="4170" spans="1:1">
      <c r="A4170" s="151" t="s">
        <v>6138</v>
      </c>
    </row>
    <row r="4171" spans="1:1">
      <c r="A4171" s="151" t="s">
        <v>6139</v>
      </c>
    </row>
    <row r="4172" spans="1:1">
      <c r="A4172" s="151" t="s">
        <v>6140</v>
      </c>
    </row>
    <row r="4173" spans="1:1">
      <c r="A4173" s="151" t="s">
        <v>6141</v>
      </c>
    </row>
    <row r="4174" spans="1:1">
      <c r="A4174" s="151" t="s">
        <v>6142</v>
      </c>
    </row>
    <row r="4175" spans="1:1">
      <c r="A4175" s="151" t="s">
        <v>6143</v>
      </c>
    </row>
    <row r="4176" spans="1:1">
      <c r="A4176" s="151" t="s">
        <v>6144</v>
      </c>
    </row>
    <row r="4177" spans="1:1">
      <c r="A4177" s="151" t="s">
        <v>6145</v>
      </c>
    </row>
    <row r="4178" spans="1:1">
      <c r="A4178" s="151" t="s">
        <v>6146</v>
      </c>
    </row>
    <row r="4179" spans="1:1">
      <c r="A4179" s="151" t="s">
        <v>6147</v>
      </c>
    </row>
    <row r="4180" spans="1:1">
      <c r="A4180" s="151" t="s">
        <v>6148</v>
      </c>
    </row>
    <row r="4181" spans="1:1">
      <c r="A4181" s="151" t="s">
        <v>6149</v>
      </c>
    </row>
    <row r="4182" spans="1:1">
      <c r="A4182" s="151" t="s">
        <v>6150</v>
      </c>
    </row>
    <row r="4183" spans="1:1">
      <c r="A4183" s="151" t="s">
        <v>6151</v>
      </c>
    </row>
    <row r="4184" spans="1:1">
      <c r="A4184" s="151" t="s">
        <v>6152</v>
      </c>
    </row>
    <row r="4185" spans="1:1">
      <c r="A4185" s="151" t="s">
        <v>6153</v>
      </c>
    </row>
    <row r="4186" spans="1:1">
      <c r="A4186" s="151" t="s">
        <v>6154</v>
      </c>
    </row>
    <row r="4187" spans="1:1">
      <c r="A4187" s="151" t="s">
        <v>6155</v>
      </c>
    </row>
    <row r="4188" spans="1:1">
      <c r="A4188" s="151" t="s">
        <v>6156</v>
      </c>
    </row>
    <row r="4189" spans="1:1">
      <c r="A4189" s="151" t="s">
        <v>6157</v>
      </c>
    </row>
    <row r="4190" spans="1:1">
      <c r="A4190" s="151" t="s">
        <v>6158</v>
      </c>
    </row>
    <row r="4191" spans="1:1">
      <c r="A4191" s="151" t="s">
        <v>6159</v>
      </c>
    </row>
    <row r="4192" spans="1:1">
      <c r="A4192" s="151" t="s">
        <v>6160</v>
      </c>
    </row>
    <row r="4193" spans="1:1">
      <c r="A4193" s="151" t="s">
        <v>6161</v>
      </c>
    </row>
    <row r="4194" spans="1:1">
      <c r="A4194" s="151" t="s">
        <v>6162</v>
      </c>
    </row>
    <row r="4195" spans="1:1">
      <c r="A4195" s="151" t="s">
        <v>6163</v>
      </c>
    </row>
    <row r="4196" spans="1:1">
      <c r="A4196" s="151" t="s">
        <v>6164</v>
      </c>
    </row>
    <row r="4197" spans="1:1">
      <c r="A4197" s="151" t="s">
        <v>6165</v>
      </c>
    </row>
    <row r="4198" spans="1:1">
      <c r="A4198" s="151" t="s">
        <v>6166</v>
      </c>
    </row>
    <row r="4199" spans="1:1">
      <c r="A4199" s="151" t="s">
        <v>6167</v>
      </c>
    </row>
    <row r="4200" spans="1:1">
      <c r="A4200" s="151" t="s">
        <v>6168</v>
      </c>
    </row>
    <row r="4201" spans="1:1">
      <c r="A4201" s="151" t="s">
        <v>6169</v>
      </c>
    </row>
    <row r="4202" spans="1:1">
      <c r="A4202" s="151" t="s">
        <v>6170</v>
      </c>
    </row>
    <row r="4203" spans="1:1">
      <c r="A4203" s="151" t="s">
        <v>6171</v>
      </c>
    </row>
    <row r="4204" spans="1:1">
      <c r="A4204" s="151" t="s">
        <v>6172</v>
      </c>
    </row>
    <row r="4205" spans="1:1">
      <c r="A4205" s="151" t="s">
        <v>6173</v>
      </c>
    </row>
    <row r="4206" spans="1:1">
      <c r="A4206" s="151" t="s">
        <v>6174</v>
      </c>
    </row>
    <row r="4207" spans="1:1">
      <c r="A4207" s="151" t="s">
        <v>6175</v>
      </c>
    </row>
    <row r="4208" spans="1:1">
      <c r="A4208" s="151" t="s">
        <v>6176</v>
      </c>
    </row>
    <row r="4209" spans="1:1">
      <c r="A4209" s="151" t="s">
        <v>6177</v>
      </c>
    </row>
    <row r="4210" spans="1:1">
      <c r="A4210" s="151" t="s">
        <v>6178</v>
      </c>
    </row>
    <row r="4211" spans="1:1">
      <c r="A4211" s="151" t="s">
        <v>6179</v>
      </c>
    </row>
    <row r="4212" spans="1:1">
      <c r="A4212" s="151" t="s">
        <v>6180</v>
      </c>
    </row>
    <row r="4213" spans="1:1">
      <c r="A4213" s="151" t="s">
        <v>6181</v>
      </c>
    </row>
    <row r="4214" spans="1:1">
      <c r="A4214" s="151" t="s">
        <v>6182</v>
      </c>
    </row>
    <row r="4215" spans="1:1">
      <c r="A4215" s="151" t="s">
        <v>6183</v>
      </c>
    </row>
    <row r="4216" spans="1:1">
      <c r="A4216" s="151" t="s">
        <v>6184</v>
      </c>
    </row>
    <row r="4217" spans="1:1">
      <c r="A4217" s="151" t="s">
        <v>6185</v>
      </c>
    </row>
    <row r="4218" spans="1:1">
      <c r="A4218" s="151" t="s">
        <v>6186</v>
      </c>
    </row>
    <row r="4219" spans="1:1">
      <c r="A4219" s="151" t="s">
        <v>6187</v>
      </c>
    </row>
    <row r="4220" spans="1:1">
      <c r="A4220" s="151" t="s">
        <v>6188</v>
      </c>
    </row>
    <row r="4221" spans="1:1">
      <c r="A4221" s="151" t="s">
        <v>6189</v>
      </c>
    </row>
    <row r="4222" spans="1:1">
      <c r="A4222" s="151" t="s">
        <v>6190</v>
      </c>
    </row>
    <row r="4223" spans="1:1">
      <c r="A4223" s="151" t="s">
        <v>6191</v>
      </c>
    </row>
    <row r="4224" spans="1:1">
      <c r="A4224" s="151" t="s">
        <v>6192</v>
      </c>
    </row>
    <row r="4225" spans="1:1">
      <c r="A4225" s="151" t="s">
        <v>6193</v>
      </c>
    </row>
    <row r="4226" spans="1:1">
      <c r="A4226" s="151" t="s">
        <v>6194</v>
      </c>
    </row>
    <row r="4227" spans="1:1">
      <c r="A4227" s="151" t="s">
        <v>6195</v>
      </c>
    </row>
    <row r="4228" spans="1:1">
      <c r="A4228" s="151" t="s">
        <v>6196</v>
      </c>
    </row>
    <row r="4229" spans="1:1">
      <c r="A4229" s="151" t="s">
        <v>6197</v>
      </c>
    </row>
    <row r="4230" spans="1:1">
      <c r="A4230" s="151" t="s">
        <v>6198</v>
      </c>
    </row>
    <row r="4231" spans="1:1">
      <c r="A4231" s="151" t="s">
        <v>6199</v>
      </c>
    </row>
    <row r="4232" spans="1:1">
      <c r="A4232" s="151" t="s">
        <v>6200</v>
      </c>
    </row>
    <row r="4233" spans="1:1">
      <c r="A4233" s="151" t="s">
        <v>6201</v>
      </c>
    </row>
    <row r="4234" spans="1:1">
      <c r="A4234" s="151" t="s">
        <v>6202</v>
      </c>
    </row>
    <row r="4235" spans="1:1">
      <c r="A4235" s="151" t="s">
        <v>6203</v>
      </c>
    </row>
    <row r="4236" spans="1:1">
      <c r="A4236" s="151" t="s">
        <v>6204</v>
      </c>
    </row>
    <row r="4237" spans="1:1">
      <c r="A4237" s="151" t="s">
        <v>6205</v>
      </c>
    </row>
    <row r="4238" spans="1:1">
      <c r="A4238" s="151" t="s">
        <v>6206</v>
      </c>
    </row>
    <row r="4239" spans="1:1">
      <c r="A4239" s="151" t="s">
        <v>6207</v>
      </c>
    </row>
    <row r="4240" spans="1:1">
      <c r="A4240" s="151" t="s">
        <v>6208</v>
      </c>
    </row>
    <row r="4241" spans="1:1">
      <c r="A4241" s="151" t="s">
        <v>6209</v>
      </c>
    </row>
    <row r="4242" spans="1:1">
      <c r="A4242" s="151" t="s">
        <v>6210</v>
      </c>
    </row>
    <row r="4243" spans="1:1">
      <c r="A4243" s="151" t="s">
        <v>6211</v>
      </c>
    </row>
    <row r="4244" spans="1:1">
      <c r="A4244" s="151" t="s">
        <v>6212</v>
      </c>
    </row>
    <row r="4245" spans="1:1">
      <c r="A4245" s="151" t="s">
        <v>6213</v>
      </c>
    </row>
    <row r="4246" spans="1:1">
      <c r="A4246" s="151" t="s">
        <v>6214</v>
      </c>
    </row>
    <row r="4247" spans="1:1">
      <c r="A4247" s="151" t="s">
        <v>6215</v>
      </c>
    </row>
    <row r="4248" spans="1:1">
      <c r="A4248" s="151" t="s">
        <v>6216</v>
      </c>
    </row>
    <row r="4249" spans="1:1">
      <c r="A4249" s="151" t="s">
        <v>6217</v>
      </c>
    </row>
    <row r="4250" spans="1:1">
      <c r="A4250" s="151" t="s">
        <v>6218</v>
      </c>
    </row>
    <row r="4251" spans="1:1">
      <c r="A4251" s="151" t="s">
        <v>6219</v>
      </c>
    </row>
    <row r="4252" spans="1:1">
      <c r="A4252" s="151" t="s">
        <v>6220</v>
      </c>
    </row>
    <row r="4253" spans="1:1">
      <c r="A4253" s="151" t="s">
        <v>6221</v>
      </c>
    </row>
    <row r="4254" spans="1:1">
      <c r="A4254" s="151" t="s">
        <v>6222</v>
      </c>
    </row>
    <row r="4255" spans="1:1">
      <c r="A4255" s="151" t="s">
        <v>6223</v>
      </c>
    </row>
    <row r="4256" spans="1:1">
      <c r="A4256" s="151" t="s">
        <v>6224</v>
      </c>
    </row>
    <row r="4257" spans="1:1">
      <c r="A4257" s="151" t="s">
        <v>6225</v>
      </c>
    </row>
    <row r="4258" spans="1:1">
      <c r="A4258" s="151" t="s">
        <v>6226</v>
      </c>
    </row>
    <row r="4259" spans="1:1">
      <c r="A4259" s="151" t="s">
        <v>6227</v>
      </c>
    </row>
    <row r="4260" spans="1:1">
      <c r="A4260" s="151" t="s">
        <v>6228</v>
      </c>
    </row>
    <row r="4261" spans="1:1">
      <c r="A4261" s="151" t="s">
        <v>6229</v>
      </c>
    </row>
    <row r="4262" spans="1:1">
      <c r="A4262" s="151" t="s">
        <v>6230</v>
      </c>
    </row>
    <row r="4263" spans="1:1">
      <c r="A4263" s="151" t="s">
        <v>6231</v>
      </c>
    </row>
    <row r="4264" spans="1:1">
      <c r="A4264" s="151" t="s">
        <v>6232</v>
      </c>
    </row>
    <row r="4265" spans="1:1">
      <c r="A4265" s="151" t="s">
        <v>6233</v>
      </c>
    </row>
    <row r="4266" spans="1:1">
      <c r="A4266" s="151" t="s">
        <v>6234</v>
      </c>
    </row>
    <row r="4267" spans="1:1">
      <c r="A4267" s="151" t="s">
        <v>6235</v>
      </c>
    </row>
    <row r="4268" spans="1:1">
      <c r="A4268" s="151" t="s">
        <v>6236</v>
      </c>
    </row>
    <row r="4269" spans="1:1">
      <c r="A4269" s="151" t="s">
        <v>6237</v>
      </c>
    </row>
    <row r="4270" spans="1:1">
      <c r="A4270" s="151" t="s">
        <v>6238</v>
      </c>
    </row>
    <row r="4271" spans="1:1">
      <c r="A4271" s="151" t="s">
        <v>6239</v>
      </c>
    </row>
    <row r="4272" spans="1:1">
      <c r="A4272" s="151" t="s">
        <v>6240</v>
      </c>
    </row>
    <row r="4273" spans="1:1">
      <c r="A4273" s="151" t="s">
        <v>6241</v>
      </c>
    </row>
    <row r="4274" spans="1:1">
      <c r="A4274" s="151" t="s">
        <v>6242</v>
      </c>
    </row>
    <row r="4275" spans="1:1">
      <c r="A4275" s="151" t="s">
        <v>6243</v>
      </c>
    </row>
    <row r="4276" spans="1:1">
      <c r="A4276" s="151" t="s">
        <v>6244</v>
      </c>
    </row>
    <row r="4277" spans="1:1">
      <c r="A4277" s="151" t="s">
        <v>6245</v>
      </c>
    </row>
    <row r="4278" spans="1:1">
      <c r="A4278" s="151" t="s">
        <v>6246</v>
      </c>
    </row>
    <row r="4279" spans="1:1">
      <c r="A4279" s="151" t="s">
        <v>6247</v>
      </c>
    </row>
    <row r="4280" spans="1:1">
      <c r="A4280" s="151" t="s">
        <v>6248</v>
      </c>
    </row>
    <row r="4281" spans="1:1">
      <c r="A4281" s="151" t="s">
        <v>6249</v>
      </c>
    </row>
    <row r="4282" spans="1:1">
      <c r="A4282" s="151" t="s">
        <v>6250</v>
      </c>
    </row>
    <row r="4283" spans="1:1">
      <c r="A4283" s="151" t="s">
        <v>6251</v>
      </c>
    </row>
    <row r="4284" spans="1:1">
      <c r="A4284" s="151" t="s">
        <v>6252</v>
      </c>
    </row>
    <row r="4285" spans="1:1">
      <c r="A4285" s="151" t="s">
        <v>6253</v>
      </c>
    </row>
    <row r="4286" spans="1:1">
      <c r="A4286" s="151" t="s">
        <v>6254</v>
      </c>
    </row>
    <row r="4287" spans="1:1">
      <c r="A4287" s="151" t="s">
        <v>6255</v>
      </c>
    </row>
    <row r="4288" spans="1:1">
      <c r="A4288" s="151" t="s">
        <v>6256</v>
      </c>
    </row>
    <row r="4289" spans="1:1">
      <c r="A4289" s="151" t="s">
        <v>6257</v>
      </c>
    </row>
    <row r="4290" spans="1:1">
      <c r="A4290" s="151" t="s">
        <v>6258</v>
      </c>
    </row>
    <row r="4291" spans="1:1">
      <c r="A4291" s="151" t="s">
        <v>6259</v>
      </c>
    </row>
    <row r="4292" spans="1:1">
      <c r="A4292" s="151" t="s">
        <v>6260</v>
      </c>
    </row>
    <row r="4293" spans="1:1">
      <c r="A4293" s="151" t="s">
        <v>6261</v>
      </c>
    </row>
    <row r="4294" spans="1:1">
      <c r="A4294" s="151" t="s">
        <v>6262</v>
      </c>
    </row>
    <row r="4295" spans="1:1">
      <c r="A4295" s="151" t="s">
        <v>6263</v>
      </c>
    </row>
    <row r="4296" spans="1:1">
      <c r="A4296" s="151" t="s">
        <v>6264</v>
      </c>
    </row>
    <row r="4297" spans="1:1">
      <c r="A4297" s="151" t="s">
        <v>6265</v>
      </c>
    </row>
    <row r="4298" spans="1:1">
      <c r="A4298" s="151" t="s">
        <v>6266</v>
      </c>
    </row>
    <row r="4299" spans="1:1">
      <c r="A4299" s="151" t="s">
        <v>6267</v>
      </c>
    </row>
    <row r="4300" spans="1:1">
      <c r="A4300" s="151" t="s">
        <v>6268</v>
      </c>
    </row>
    <row r="4301" spans="1:1">
      <c r="A4301" s="151" t="s">
        <v>6269</v>
      </c>
    </row>
    <row r="4302" spans="1:1">
      <c r="A4302" s="151" t="s">
        <v>6270</v>
      </c>
    </row>
    <row r="4303" spans="1:1">
      <c r="A4303" s="151" t="s">
        <v>6271</v>
      </c>
    </row>
    <row r="4304" spans="1:1">
      <c r="A4304" s="151" t="s">
        <v>6272</v>
      </c>
    </row>
    <row r="4305" spans="1:1">
      <c r="A4305" s="151" t="s">
        <v>6273</v>
      </c>
    </row>
    <row r="4306" spans="1:1">
      <c r="A4306" s="151" t="s">
        <v>6274</v>
      </c>
    </row>
    <row r="4307" spans="1:1">
      <c r="A4307" s="151" t="s">
        <v>6275</v>
      </c>
    </row>
    <row r="4308" spans="1:1">
      <c r="A4308" s="151" t="s">
        <v>6276</v>
      </c>
    </row>
    <row r="4309" spans="1:1">
      <c r="A4309" s="151" t="s">
        <v>6277</v>
      </c>
    </row>
    <row r="4310" spans="1:1">
      <c r="A4310" s="151" t="s">
        <v>6278</v>
      </c>
    </row>
    <row r="4311" spans="1:1">
      <c r="A4311" s="151" t="s">
        <v>6279</v>
      </c>
    </row>
    <row r="4312" spans="1:1">
      <c r="A4312" s="151" t="s">
        <v>6280</v>
      </c>
    </row>
    <row r="4313" spans="1:1">
      <c r="A4313" s="151" t="s">
        <v>6281</v>
      </c>
    </row>
    <row r="4314" spans="1:1">
      <c r="A4314" s="151" t="s">
        <v>6282</v>
      </c>
    </row>
    <row r="4315" spans="1:1">
      <c r="A4315" s="151" t="s">
        <v>6283</v>
      </c>
    </row>
    <row r="4316" spans="1:1">
      <c r="A4316" s="151" t="s">
        <v>6284</v>
      </c>
    </row>
    <row r="4317" spans="1:1">
      <c r="A4317" s="151" t="s">
        <v>6285</v>
      </c>
    </row>
    <row r="4318" spans="1:1">
      <c r="A4318" s="151" t="s">
        <v>6286</v>
      </c>
    </row>
    <row r="4319" spans="1:1">
      <c r="A4319" s="151" t="s">
        <v>6287</v>
      </c>
    </row>
    <row r="4320" spans="1:1">
      <c r="A4320" s="151" t="s">
        <v>6288</v>
      </c>
    </row>
    <row r="4321" spans="1:1">
      <c r="A4321" s="151" t="s">
        <v>6289</v>
      </c>
    </row>
    <row r="4322" spans="1:1">
      <c r="A4322" s="151" t="s">
        <v>6290</v>
      </c>
    </row>
    <row r="4323" spans="1:1">
      <c r="A4323" s="151" t="s">
        <v>6291</v>
      </c>
    </row>
    <row r="4324" spans="1:1">
      <c r="A4324" s="151" t="s">
        <v>6292</v>
      </c>
    </row>
    <row r="4325" spans="1:1">
      <c r="A4325" s="151" t="s">
        <v>6293</v>
      </c>
    </row>
    <row r="4326" spans="1:1">
      <c r="A4326" s="151" t="s">
        <v>6294</v>
      </c>
    </row>
    <row r="4327" spans="1:1">
      <c r="A4327" s="151" t="s">
        <v>6295</v>
      </c>
    </row>
    <row r="4328" spans="1:1">
      <c r="A4328" s="151" t="s">
        <v>6296</v>
      </c>
    </row>
    <row r="4329" spans="1:1">
      <c r="A4329" s="151" t="s">
        <v>6297</v>
      </c>
    </row>
    <row r="4330" spans="1:1">
      <c r="A4330" s="151" t="s">
        <v>6298</v>
      </c>
    </row>
    <row r="4331" spans="1:1">
      <c r="A4331" s="151" t="s">
        <v>6299</v>
      </c>
    </row>
    <row r="4332" spans="1:1">
      <c r="A4332" s="151" t="s">
        <v>6300</v>
      </c>
    </row>
    <row r="4333" spans="1:1">
      <c r="A4333" s="151" t="s">
        <v>6301</v>
      </c>
    </row>
    <row r="4334" spans="1:1">
      <c r="A4334" s="151" t="s">
        <v>6302</v>
      </c>
    </row>
    <row r="4335" spans="1:1">
      <c r="A4335" s="151" t="s">
        <v>6303</v>
      </c>
    </row>
    <row r="4336" spans="1:1">
      <c r="A4336" s="151" t="s">
        <v>6304</v>
      </c>
    </row>
    <row r="4337" spans="1:1">
      <c r="A4337" s="151" t="s">
        <v>6305</v>
      </c>
    </row>
    <row r="4338" spans="1:1">
      <c r="A4338" s="151" t="s">
        <v>6306</v>
      </c>
    </row>
    <row r="4339" spans="1:1">
      <c r="A4339" s="151" t="s">
        <v>6307</v>
      </c>
    </row>
    <row r="4340" spans="1:1">
      <c r="A4340" s="151" t="s">
        <v>6308</v>
      </c>
    </row>
    <row r="4341" spans="1:1">
      <c r="A4341" s="151" t="s">
        <v>6309</v>
      </c>
    </row>
    <row r="4342" spans="1:1">
      <c r="A4342" s="151" t="s">
        <v>6310</v>
      </c>
    </row>
    <row r="4343" spans="1:1">
      <c r="A4343" s="151" t="s">
        <v>6311</v>
      </c>
    </row>
    <row r="4344" spans="1:1">
      <c r="A4344" s="151" t="s">
        <v>6312</v>
      </c>
    </row>
    <row r="4345" spans="1:1">
      <c r="A4345" s="151" t="s">
        <v>6313</v>
      </c>
    </row>
    <row r="4346" spans="1:1">
      <c r="A4346" s="151" t="s">
        <v>6314</v>
      </c>
    </row>
    <row r="4347" spans="1:1">
      <c r="A4347" s="151" t="s">
        <v>6315</v>
      </c>
    </row>
    <row r="4348" spans="1:1">
      <c r="A4348" s="151" t="s">
        <v>6316</v>
      </c>
    </row>
    <row r="4349" spans="1:1">
      <c r="A4349" s="151" t="s">
        <v>6317</v>
      </c>
    </row>
    <row r="4350" spans="1:1">
      <c r="A4350" s="151" t="s">
        <v>6318</v>
      </c>
    </row>
    <row r="4351" spans="1:1">
      <c r="A4351" s="151" t="s">
        <v>6319</v>
      </c>
    </row>
    <row r="4352" spans="1:1">
      <c r="A4352" s="151" t="s">
        <v>6320</v>
      </c>
    </row>
    <row r="4353" spans="1:1">
      <c r="A4353" s="151" t="s">
        <v>6321</v>
      </c>
    </row>
    <row r="4354" spans="1:1">
      <c r="A4354" s="151" t="s">
        <v>6322</v>
      </c>
    </row>
    <row r="4355" spans="1:1">
      <c r="A4355" s="151" t="s">
        <v>6323</v>
      </c>
    </row>
    <row r="4356" spans="1:1">
      <c r="A4356" s="151" t="s">
        <v>6324</v>
      </c>
    </row>
    <row r="4357" spans="1:1">
      <c r="A4357" s="151" t="s">
        <v>6325</v>
      </c>
    </row>
    <row r="4358" spans="1:1">
      <c r="A4358" s="151" t="s">
        <v>6326</v>
      </c>
    </row>
    <row r="4359" spans="1:1">
      <c r="A4359" s="151" t="s">
        <v>6327</v>
      </c>
    </row>
    <row r="4360" spans="1:1">
      <c r="A4360" s="151" t="s">
        <v>6328</v>
      </c>
    </row>
    <row r="4361" spans="1:1">
      <c r="A4361" s="151" t="s">
        <v>6329</v>
      </c>
    </row>
    <row r="4362" spans="1:1">
      <c r="A4362" s="151" t="s">
        <v>6330</v>
      </c>
    </row>
    <row r="4363" spans="1:1">
      <c r="A4363" s="151" t="s">
        <v>6331</v>
      </c>
    </row>
    <row r="4364" spans="1:1">
      <c r="A4364" s="151" t="s">
        <v>6332</v>
      </c>
    </row>
    <row r="4365" spans="1:1">
      <c r="A4365" s="151" t="s">
        <v>6333</v>
      </c>
    </row>
    <row r="4366" spans="1:1">
      <c r="A4366" s="151" t="s">
        <v>6334</v>
      </c>
    </row>
    <row r="4367" spans="1:1">
      <c r="A4367" s="151" t="s">
        <v>6335</v>
      </c>
    </row>
    <row r="4368" spans="1:1">
      <c r="A4368" s="151" t="s">
        <v>6336</v>
      </c>
    </row>
    <row r="4369" spans="1:1">
      <c r="A4369" s="151" t="s">
        <v>6337</v>
      </c>
    </row>
    <row r="4370" spans="1:1">
      <c r="A4370" s="151" t="s">
        <v>6338</v>
      </c>
    </row>
    <row r="4371" spans="1:1">
      <c r="A4371" s="151" t="s">
        <v>6339</v>
      </c>
    </row>
    <row r="4372" spans="1:1">
      <c r="A4372" s="151" t="s">
        <v>6340</v>
      </c>
    </row>
    <row r="4373" spans="1:1">
      <c r="A4373" s="151" t="s">
        <v>6341</v>
      </c>
    </row>
    <row r="4374" spans="1:1">
      <c r="A4374" s="151" t="s">
        <v>6342</v>
      </c>
    </row>
    <row r="4375" spans="1:1">
      <c r="A4375" s="151" t="s">
        <v>6343</v>
      </c>
    </row>
    <row r="4376" spans="1:1">
      <c r="A4376" s="151" t="s">
        <v>6344</v>
      </c>
    </row>
    <row r="4377" spans="1:1">
      <c r="A4377" s="151" t="s">
        <v>6345</v>
      </c>
    </row>
    <row r="4378" spans="1:1">
      <c r="A4378" s="151" t="s">
        <v>6346</v>
      </c>
    </row>
    <row r="4379" spans="1:1">
      <c r="A4379" s="151" t="s">
        <v>6347</v>
      </c>
    </row>
    <row r="4380" spans="1:1">
      <c r="A4380" s="151" t="s">
        <v>6348</v>
      </c>
    </row>
    <row r="4381" spans="1:1">
      <c r="A4381" s="151" t="s">
        <v>6349</v>
      </c>
    </row>
    <row r="4382" spans="1:1">
      <c r="A4382" s="151" t="s">
        <v>6350</v>
      </c>
    </row>
    <row r="4383" spans="1:1">
      <c r="A4383" s="151" t="s">
        <v>6351</v>
      </c>
    </row>
    <row r="4384" spans="1:1">
      <c r="A4384" s="151" t="s">
        <v>6352</v>
      </c>
    </row>
    <row r="4385" spans="1:1">
      <c r="A4385" s="151" t="s">
        <v>6353</v>
      </c>
    </row>
    <row r="4386" spans="1:1">
      <c r="A4386" s="151" t="s">
        <v>6354</v>
      </c>
    </row>
    <row r="4387" spans="1:1">
      <c r="A4387" s="151" t="s">
        <v>6355</v>
      </c>
    </row>
    <row r="4388" spans="1:1">
      <c r="A4388" s="151" t="s">
        <v>6356</v>
      </c>
    </row>
    <row r="4389" spans="1:1">
      <c r="A4389" s="151" t="s">
        <v>6357</v>
      </c>
    </row>
    <row r="4390" spans="1:1">
      <c r="A4390" s="151" t="s">
        <v>6358</v>
      </c>
    </row>
    <row r="4391" spans="1:1">
      <c r="A4391" s="151" t="s">
        <v>6359</v>
      </c>
    </row>
    <row r="4392" spans="1:1">
      <c r="A4392" s="151" t="s">
        <v>6360</v>
      </c>
    </row>
    <row r="4393" spans="1:1">
      <c r="A4393" s="151" t="s">
        <v>6361</v>
      </c>
    </row>
    <row r="4394" spans="1:1">
      <c r="A4394" s="151" t="s">
        <v>6362</v>
      </c>
    </row>
    <row r="4395" spans="1:1">
      <c r="A4395" s="151" t="s">
        <v>6363</v>
      </c>
    </row>
    <row r="4396" spans="1:1">
      <c r="A4396" s="151" t="s">
        <v>6364</v>
      </c>
    </row>
    <row r="4397" spans="1:1">
      <c r="A4397" s="151" t="s">
        <v>6365</v>
      </c>
    </row>
    <row r="4398" spans="1:1">
      <c r="A4398" s="151" t="s">
        <v>6366</v>
      </c>
    </row>
    <row r="4399" spans="1:1">
      <c r="A4399" s="151" t="s">
        <v>6367</v>
      </c>
    </row>
    <row r="4400" spans="1:1">
      <c r="A4400" s="151" t="s">
        <v>6368</v>
      </c>
    </row>
    <row r="4401" spans="1:1">
      <c r="A4401" s="151" t="s">
        <v>6369</v>
      </c>
    </row>
    <row r="4402" spans="1:1">
      <c r="A4402" s="151" t="s">
        <v>6370</v>
      </c>
    </row>
    <row r="4403" spans="1:1">
      <c r="A4403" s="151" t="s">
        <v>6371</v>
      </c>
    </row>
    <row r="4404" spans="1:1">
      <c r="A4404" s="151" t="s">
        <v>6372</v>
      </c>
    </row>
    <row r="4405" spans="1:1">
      <c r="A4405" s="151" t="s">
        <v>6373</v>
      </c>
    </row>
    <row r="4406" spans="1:1">
      <c r="A4406" s="151" t="s">
        <v>6374</v>
      </c>
    </row>
    <row r="4407" spans="1:1">
      <c r="A4407" s="151" t="s">
        <v>6375</v>
      </c>
    </row>
    <row r="4408" spans="1:1">
      <c r="A4408" s="151" t="s">
        <v>6376</v>
      </c>
    </row>
    <row r="4409" spans="1:1">
      <c r="A4409" s="151" t="s">
        <v>6377</v>
      </c>
    </row>
    <row r="4410" spans="1:1">
      <c r="A4410" s="151" t="s">
        <v>6378</v>
      </c>
    </row>
    <row r="4411" spans="1:1">
      <c r="A4411" s="151" t="s">
        <v>6379</v>
      </c>
    </row>
    <row r="4412" spans="1:1">
      <c r="A4412" s="151" t="s">
        <v>6380</v>
      </c>
    </row>
    <row r="4413" spans="1:1">
      <c r="A4413" s="151" t="s">
        <v>6381</v>
      </c>
    </row>
    <row r="4414" spans="1:1">
      <c r="A4414" s="151" t="s">
        <v>6382</v>
      </c>
    </row>
    <row r="4415" spans="1:1">
      <c r="A4415" s="151" t="s">
        <v>6383</v>
      </c>
    </row>
    <row r="4416" spans="1:1">
      <c r="A4416" s="151" t="s">
        <v>6384</v>
      </c>
    </row>
    <row r="4417" spans="1:1">
      <c r="A4417" s="151" t="s">
        <v>6385</v>
      </c>
    </row>
    <row r="4418" spans="1:1">
      <c r="A4418" s="151" t="s">
        <v>6386</v>
      </c>
    </row>
    <row r="4419" spans="1:1">
      <c r="A4419" s="151" t="s">
        <v>6387</v>
      </c>
    </row>
    <row r="4420" spans="1:1">
      <c r="A4420" s="151" t="s">
        <v>6388</v>
      </c>
    </row>
    <row r="4421" spans="1:1">
      <c r="A4421" s="151" t="s">
        <v>6389</v>
      </c>
    </row>
    <row r="4422" spans="1:1">
      <c r="A4422" s="151" t="s">
        <v>6390</v>
      </c>
    </row>
    <row r="4423" spans="1:1">
      <c r="A4423" s="151" t="s">
        <v>6391</v>
      </c>
    </row>
    <row r="4424" spans="1:1">
      <c r="A4424" s="151" t="s">
        <v>6392</v>
      </c>
    </row>
    <row r="4425" spans="1:1">
      <c r="A4425" s="151" t="s">
        <v>6393</v>
      </c>
    </row>
    <row r="4426" spans="1:1">
      <c r="A4426" s="151" t="s">
        <v>6394</v>
      </c>
    </row>
    <row r="4427" spans="1:1">
      <c r="A4427" s="151" t="s">
        <v>6395</v>
      </c>
    </row>
    <row r="4428" spans="1:1">
      <c r="A4428" s="151" t="s">
        <v>6396</v>
      </c>
    </row>
    <row r="4429" spans="1:1">
      <c r="A4429" s="151" t="s">
        <v>6397</v>
      </c>
    </row>
    <row r="4430" spans="1:1">
      <c r="A4430" s="151" t="s">
        <v>6398</v>
      </c>
    </row>
    <row r="4431" spans="1:1">
      <c r="A4431" s="151" t="s">
        <v>6399</v>
      </c>
    </row>
    <row r="4432" spans="1:1">
      <c r="A4432" s="151" t="s">
        <v>6400</v>
      </c>
    </row>
    <row r="4433" spans="1:1">
      <c r="A4433" s="151" t="s">
        <v>6401</v>
      </c>
    </row>
    <row r="4434" spans="1:1">
      <c r="A4434" s="151" t="s">
        <v>6402</v>
      </c>
    </row>
    <row r="4435" spans="1:1">
      <c r="A4435" s="151" t="s">
        <v>6403</v>
      </c>
    </row>
    <row r="4436" spans="1:1">
      <c r="A4436" s="151" t="s">
        <v>6404</v>
      </c>
    </row>
    <row r="4437" spans="1:1">
      <c r="A4437" s="151" t="s">
        <v>6405</v>
      </c>
    </row>
    <row r="4438" spans="1:1">
      <c r="A4438" s="151" t="s">
        <v>6406</v>
      </c>
    </row>
    <row r="4439" spans="1:1">
      <c r="A4439" s="151" t="s">
        <v>6407</v>
      </c>
    </row>
    <row r="4440" spans="1:1">
      <c r="A4440" s="151" t="s">
        <v>6408</v>
      </c>
    </row>
    <row r="4441" spans="1:1">
      <c r="A4441" s="151" t="s">
        <v>6409</v>
      </c>
    </row>
    <row r="4442" spans="1:1">
      <c r="A4442" s="151" t="s">
        <v>6410</v>
      </c>
    </row>
    <row r="4443" spans="1:1">
      <c r="A4443" s="151" t="s">
        <v>6411</v>
      </c>
    </row>
    <row r="4444" spans="1:1">
      <c r="A4444" s="151" t="s">
        <v>6412</v>
      </c>
    </row>
    <row r="4445" spans="1:1">
      <c r="A4445" s="151" t="s">
        <v>6413</v>
      </c>
    </row>
    <row r="4446" spans="1:1">
      <c r="A4446" s="151" t="s">
        <v>6414</v>
      </c>
    </row>
    <row r="4447" spans="1:1">
      <c r="A4447" s="151" t="s">
        <v>6415</v>
      </c>
    </row>
    <row r="4448" spans="1:1">
      <c r="A4448" s="151" t="s">
        <v>6416</v>
      </c>
    </row>
    <row r="4449" spans="1:1">
      <c r="A4449" s="151" t="s">
        <v>6417</v>
      </c>
    </row>
    <row r="4450" spans="1:1">
      <c r="A4450" s="151" t="s">
        <v>6418</v>
      </c>
    </row>
    <row r="4451" spans="1:1">
      <c r="A4451" s="151" t="s">
        <v>6419</v>
      </c>
    </row>
    <row r="4452" spans="1:1">
      <c r="A4452" s="151" t="s">
        <v>6420</v>
      </c>
    </row>
    <row r="4453" spans="1:1">
      <c r="A4453" s="151" t="s">
        <v>6421</v>
      </c>
    </row>
    <row r="4454" spans="1:1">
      <c r="A4454" s="151" t="s">
        <v>6422</v>
      </c>
    </row>
    <row r="4455" spans="1:1">
      <c r="A4455" s="151" t="s">
        <v>6423</v>
      </c>
    </row>
    <row r="4456" spans="1:1">
      <c r="A4456" s="151" t="s">
        <v>6424</v>
      </c>
    </row>
    <row r="4457" spans="1:1">
      <c r="A4457" s="151" t="s">
        <v>6425</v>
      </c>
    </row>
    <row r="4458" spans="1:1">
      <c r="A4458" s="151" t="s">
        <v>6426</v>
      </c>
    </row>
    <row r="4459" spans="1:1">
      <c r="A4459" s="151" t="s">
        <v>6427</v>
      </c>
    </row>
    <row r="4460" spans="1:1">
      <c r="A4460" s="151" t="s">
        <v>6428</v>
      </c>
    </row>
    <row r="4461" spans="1:1">
      <c r="A4461" s="151" t="s">
        <v>6429</v>
      </c>
    </row>
    <row r="4462" spans="1:1">
      <c r="A4462" s="151" t="s">
        <v>6430</v>
      </c>
    </row>
    <row r="4463" spans="1:1">
      <c r="A4463" s="151" t="s">
        <v>6431</v>
      </c>
    </row>
    <row r="4464" spans="1:1">
      <c r="A4464" s="151" t="s">
        <v>6432</v>
      </c>
    </row>
    <row r="4465" spans="1:1">
      <c r="A4465" s="151" t="s">
        <v>6433</v>
      </c>
    </row>
    <row r="4466" spans="1:1">
      <c r="A4466" s="151" t="s">
        <v>6434</v>
      </c>
    </row>
    <row r="4467" spans="1:1">
      <c r="A4467" s="151" t="s">
        <v>6435</v>
      </c>
    </row>
    <row r="4468" spans="1:1">
      <c r="A4468" s="151" t="s">
        <v>6436</v>
      </c>
    </row>
    <row r="4469" spans="1:1">
      <c r="A4469" s="151" t="s">
        <v>6437</v>
      </c>
    </row>
    <row r="4470" spans="1:1">
      <c r="A4470" s="151" t="s">
        <v>6438</v>
      </c>
    </row>
    <row r="4471" spans="1:1">
      <c r="A4471" s="151" t="s">
        <v>6439</v>
      </c>
    </row>
    <row r="4472" spans="1:1">
      <c r="A4472" s="151" t="s">
        <v>6440</v>
      </c>
    </row>
    <row r="4473" spans="1:1">
      <c r="A4473" s="151" t="s">
        <v>6441</v>
      </c>
    </row>
    <row r="4474" spans="1:1">
      <c r="A4474" s="151" t="s">
        <v>6442</v>
      </c>
    </row>
    <row r="4475" spans="1:1">
      <c r="A4475" s="151" t="s">
        <v>6443</v>
      </c>
    </row>
    <row r="4476" spans="1:1">
      <c r="A4476" s="151" t="s">
        <v>6444</v>
      </c>
    </row>
    <row r="4477" spans="1:1">
      <c r="A4477" s="151" t="s">
        <v>6445</v>
      </c>
    </row>
    <row r="4478" spans="1:1">
      <c r="A4478" s="151" t="s">
        <v>6446</v>
      </c>
    </row>
    <row r="4479" spans="1:1">
      <c r="A4479" s="151" t="s">
        <v>6447</v>
      </c>
    </row>
    <row r="4480" spans="1:1">
      <c r="A4480" s="151" t="s">
        <v>6448</v>
      </c>
    </row>
    <row r="4481" spans="1:1">
      <c r="A4481" s="151" t="s">
        <v>6449</v>
      </c>
    </row>
    <row r="4482" spans="1:1">
      <c r="A4482" s="151" t="s">
        <v>6450</v>
      </c>
    </row>
    <row r="4483" spans="1:1">
      <c r="A4483" s="151" t="s">
        <v>6451</v>
      </c>
    </row>
    <row r="4484" spans="1:1">
      <c r="A4484" s="151" t="s">
        <v>6452</v>
      </c>
    </row>
    <row r="4485" spans="1:1">
      <c r="A4485" s="151" t="s">
        <v>6453</v>
      </c>
    </row>
    <row r="4486" spans="1:1">
      <c r="A4486" s="151" t="s">
        <v>6454</v>
      </c>
    </row>
    <row r="4487" spans="1:1">
      <c r="A4487" s="151" t="s">
        <v>6455</v>
      </c>
    </row>
    <row r="4488" spans="1:1">
      <c r="A4488" s="151" t="s">
        <v>6456</v>
      </c>
    </row>
    <row r="4489" spans="1:1">
      <c r="A4489" s="151" t="s">
        <v>6457</v>
      </c>
    </row>
    <row r="4490" spans="1:1">
      <c r="A4490" s="151" t="s">
        <v>6458</v>
      </c>
    </row>
    <row r="4491" spans="1:1">
      <c r="A4491" s="151" t="s">
        <v>6459</v>
      </c>
    </row>
    <row r="4492" spans="1:1">
      <c r="A4492" s="151" t="s">
        <v>6460</v>
      </c>
    </row>
    <row r="4493" spans="1:1">
      <c r="A4493" s="151" t="s">
        <v>6461</v>
      </c>
    </row>
    <row r="4494" spans="1:1">
      <c r="A4494" s="151" t="s">
        <v>6462</v>
      </c>
    </row>
    <row r="4495" spans="1:1">
      <c r="A4495" s="151" t="s">
        <v>6463</v>
      </c>
    </row>
    <row r="4496" spans="1:1">
      <c r="A4496" s="151" t="s">
        <v>6464</v>
      </c>
    </row>
    <row r="4497" spans="1:1">
      <c r="A4497" s="151" t="s">
        <v>6465</v>
      </c>
    </row>
    <row r="4498" spans="1:1">
      <c r="A4498" s="151" t="s">
        <v>6466</v>
      </c>
    </row>
    <row r="4499" spans="1:1">
      <c r="A4499" s="151" t="s">
        <v>6467</v>
      </c>
    </row>
    <row r="4500" spans="1:1">
      <c r="A4500" s="151" t="s">
        <v>6468</v>
      </c>
    </row>
    <row r="4501" spans="1:1">
      <c r="A4501" s="151" t="s">
        <v>6469</v>
      </c>
    </row>
    <row r="4502" spans="1:1">
      <c r="A4502" s="151" t="s">
        <v>6470</v>
      </c>
    </row>
    <row r="4503" spans="1:1">
      <c r="A4503" s="151" t="s">
        <v>6471</v>
      </c>
    </row>
    <row r="4504" spans="1:1">
      <c r="A4504" s="151" t="s">
        <v>6472</v>
      </c>
    </row>
    <row r="4505" spans="1:1">
      <c r="A4505" s="151" t="s">
        <v>6473</v>
      </c>
    </row>
    <row r="4506" spans="1:1">
      <c r="A4506" s="151" t="s">
        <v>6474</v>
      </c>
    </row>
    <row r="4507" spans="1:1">
      <c r="A4507" s="151" t="s">
        <v>6475</v>
      </c>
    </row>
    <row r="4508" spans="1:1">
      <c r="A4508" s="151" t="s">
        <v>6476</v>
      </c>
    </row>
    <row r="4509" spans="1:1">
      <c r="A4509" s="151" t="s">
        <v>6477</v>
      </c>
    </row>
    <row r="4510" spans="1:1">
      <c r="A4510" s="151" t="s">
        <v>6478</v>
      </c>
    </row>
    <row r="4511" spans="1:1">
      <c r="A4511" s="151" t="s">
        <v>6479</v>
      </c>
    </row>
    <row r="4512" spans="1:1">
      <c r="A4512" s="151" t="s">
        <v>6480</v>
      </c>
    </row>
    <row r="4513" spans="1:1">
      <c r="A4513" s="151" t="s">
        <v>6481</v>
      </c>
    </row>
    <row r="4514" spans="1:1">
      <c r="A4514" s="151" t="s">
        <v>6482</v>
      </c>
    </row>
    <row r="4515" spans="1:1">
      <c r="A4515" s="151" t="s">
        <v>6483</v>
      </c>
    </row>
    <row r="4516" spans="1:1">
      <c r="A4516" s="151" t="s">
        <v>6484</v>
      </c>
    </row>
    <row r="4517" spans="1:1">
      <c r="A4517" s="151" t="s">
        <v>6485</v>
      </c>
    </row>
    <row r="4518" spans="1:1">
      <c r="A4518" s="151" t="s">
        <v>6486</v>
      </c>
    </row>
    <row r="4519" spans="1:1">
      <c r="A4519" s="151" t="s">
        <v>6487</v>
      </c>
    </row>
    <row r="4520" spans="1:1">
      <c r="A4520" s="151" t="s">
        <v>6488</v>
      </c>
    </row>
    <row r="4521" spans="1:1">
      <c r="A4521" s="151" t="s">
        <v>6489</v>
      </c>
    </row>
    <row r="4522" spans="1:1">
      <c r="A4522" s="151" t="s">
        <v>6490</v>
      </c>
    </row>
    <row r="4523" spans="1:1">
      <c r="A4523" s="151" t="s">
        <v>6491</v>
      </c>
    </row>
    <row r="4524" spans="1:1">
      <c r="A4524" s="151" t="s">
        <v>6492</v>
      </c>
    </row>
    <row r="4525" spans="1:1">
      <c r="A4525" s="151" t="s">
        <v>6493</v>
      </c>
    </row>
    <row r="4526" spans="1:1">
      <c r="A4526" s="151" t="s">
        <v>6494</v>
      </c>
    </row>
    <row r="4527" spans="1:1">
      <c r="A4527" s="151" t="s">
        <v>6495</v>
      </c>
    </row>
    <row r="4528" spans="1:1">
      <c r="A4528" s="151" t="s">
        <v>6496</v>
      </c>
    </row>
    <row r="4529" spans="1:1">
      <c r="A4529" s="151" t="s">
        <v>6497</v>
      </c>
    </row>
    <row r="4530" spans="1:1">
      <c r="A4530" s="151" t="s">
        <v>6498</v>
      </c>
    </row>
    <row r="4531" spans="1:1">
      <c r="A4531" s="151" t="s">
        <v>6499</v>
      </c>
    </row>
    <row r="4532" spans="1:1">
      <c r="A4532" s="151" t="s">
        <v>6500</v>
      </c>
    </row>
    <row r="4533" spans="1:1">
      <c r="A4533" s="151" t="s">
        <v>6501</v>
      </c>
    </row>
    <row r="4534" spans="1:1">
      <c r="A4534" s="151" t="s">
        <v>6502</v>
      </c>
    </row>
    <row r="4535" spans="1:1">
      <c r="A4535" s="151" t="s">
        <v>6503</v>
      </c>
    </row>
    <row r="4536" spans="1:1">
      <c r="A4536" s="151" t="s">
        <v>6504</v>
      </c>
    </row>
    <row r="4537" spans="1:1">
      <c r="A4537" s="151" t="s">
        <v>6505</v>
      </c>
    </row>
    <row r="4538" spans="1:1">
      <c r="A4538" s="151" t="s">
        <v>6506</v>
      </c>
    </row>
    <row r="4539" spans="1:1">
      <c r="A4539" s="151" t="s">
        <v>6507</v>
      </c>
    </row>
    <row r="4540" spans="1:1">
      <c r="A4540" s="151" t="s">
        <v>6508</v>
      </c>
    </row>
    <row r="4541" spans="1:1">
      <c r="A4541" s="151" t="s">
        <v>6509</v>
      </c>
    </row>
    <row r="4542" spans="1:1">
      <c r="A4542" s="151" t="s">
        <v>6510</v>
      </c>
    </row>
    <row r="4543" spans="1:1">
      <c r="A4543" s="151" t="s">
        <v>6511</v>
      </c>
    </row>
    <row r="4544" spans="1:1">
      <c r="A4544" s="151" t="s">
        <v>6512</v>
      </c>
    </row>
    <row r="4545" spans="1:1">
      <c r="A4545" s="151" t="s">
        <v>6513</v>
      </c>
    </row>
    <row r="4546" spans="1:1">
      <c r="A4546" s="151" t="s">
        <v>6514</v>
      </c>
    </row>
    <row r="4547" spans="1:1">
      <c r="A4547" s="151" t="s">
        <v>6515</v>
      </c>
    </row>
    <row r="4548" spans="1:1">
      <c r="A4548" s="151" t="s">
        <v>6516</v>
      </c>
    </row>
    <row r="4549" spans="1:1">
      <c r="A4549" s="151" t="s">
        <v>6517</v>
      </c>
    </row>
    <row r="4550" spans="1:1">
      <c r="A4550" s="151" t="s">
        <v>6518</v>
      </c>
    </row>
    <row r="4551" spans="1:1">
      <c r="A4551" s="151" t="s">
        <v>6519</v>
      </c>
    </row>
    <row r="4552" spans="1:1">
      <c r="A4552" s="151" t="s">
        <v>6520</v>
      </c>
    </row>
    <row r="4553" spans="1:1">
      <c r="A4553" s="151" t="s">
        <v>6521</v>
      </c>
    </row>
    <row r="4554" spans="1:1">
      <c r="A4554" s="151" t="s">
        <v>6522</v>
      </c>
    </row>
    <row r="4555" spans="1:1">
      <c r="A4555" s="151" t="s">
        <v>6523</v>
      </c>
    </row>
    <row r="4556" spans="1:1">
      <c r="A4556" s="151" t="s">
        <v>6524</v>
      </c>
    </row>
    <row r="4557" spans="1:1">
      <c r="A4557" s="151" t="s">
        <v>6525</v>
      </c>
    </row>
    <row r="4558" spans="1:1">
      <c r="A4558" s="151" t="s">
        <v>6526</v>
      </c>
    </row>
    <row r="4559" spans="1:1">
      <c r="A4559" s="151" t="s">
        <v>6527</v>
      </c>
    </row>
    <row r="4560" spans="1:1">
      <c r="A4560" s="151" t="s">
        <v>6528</v>
      </c>
    </row>
    <row r="4561" spans="1:1">
      <c r="A4561" s="151" t="s">
        <v>6529</v>
      </c>
    </row>
    <row r="4562" spans="1:1">
      <c r="A4562" s="151" t="s">
        <v>6530</v>
      </c>
    </row>
    <row r="4563" spans="1:1">
      <c r="A4563" s="151" t="s">
        <v>6531</v>
      </c>
    </row>
    <row r="4564" spans="1:1">
      <c r="A4564" s="151" t="s">
        <v>6532</v>
      </c>
    </row>
    <row r="4565" spans="1:1">
      <c r="A4565" s="151" t="s">
        <v>6533</v>
      </c>
    </row>
    <row r="4566" spans="1:1">
      <c r="A4566" s="151" t="s">
        <v>6534</v>
      </c>
    </row>
    <row r="4567" spans="1:1">
      <c r="A4567" s="151" t="s">
        <v>6535</v>
      </c>
    </row>
    <row r="4568" spans="1:1">
      <c r="A4568" s="151" t="s">
        <v>6536</v>
      </c>
    </row>
    <row r="4569" spans="1:1">
      <c r="A4569" s="151" t="s">
        <v>6537</v>
      </c>
    </row>
    <row r="4570" spans="1:1">
      <c r="A4570" s="151" t="s">
        <v>6538</v>
      </c>
    </row>
    <row r="4571" spans="1:1">
      <c r="A4571" s="151" t="s">
        <v>6539</v>
      </c>
    </row>
    <row r="4572" spans="1:1">
      <c r="A4572" s="151" t="s">
        <v>6540</v>
      </c>
    </row>
    <row r="4573" spans="1:1">
      <c r="A4573" s="151" t="s">
        <v>6541</v>
      </c>
    </row>
    <row r="4574" spans="1:1">
      <c r="A4574" s="151" t="s">
        <v>6542</v>
      </c>
    </row>
    <row r="4575" spans="1:1">
      <c r="A4575" s="151" t="s">
        <v>6543</v>
      </c>
    </row>
    <row r="4576" spans="1:1">
      <c r="A4576" s="151" t="s">
        <v>6544</v>
      </c>
    </row>
    <row r="4577" spans="1:1">
      <c r="A4577" s="151" t="s">
        <v>6545</v>
      </c>
    </row>
    <row r="4578" spans="1:1">
      <c r="A4578" s="151" t="s">
        <v>6546</v>
      </c>
    </row>
    <row r="4579" spans="1:1">
      <c r="A4579" s="151" t="s">
        <v>6547</v>
      </c>
    </row>
    <row r="4580" spans="1:1">
      <c r="A4580" s="151" t="s">
        <v>6548</v>
      </c>
    </row>
    <row r="4581" spans="1:1">
      <c r="A4581" s="151" t="s">
        <v>6549</v>
      </c>
    </row>
    <row r="4582" spans="1:1">
      <c r="A4582" s="151" t="s">
        <v>6550</v>
      </c>
    </row>
    <row r="4583" spans="1:1">
      <c r="A4583" s="151" t="s">
        <v>6551</v>
      </c>
    </row>
    <row r="4584" spans="1:1">
      <c r="A4584" s="151" t="s">
        <v>6552</v>
      </c>
    </row>
    <row r="4585" spans="1:1">
      <c r="A4585" s="151" t="s">
        <v>6553</v>
      </c>
    </row>
    <row r="4586" spans="1:1">
      <c r="A4586" s="151" t="s">
        <v>6554</v>
      </c>
    </row>
    <row r="4587" spans="1:1">
      <c r="A4587" s="151" t="s">
        <v>6555</v>
      </c>
    </row>
    <row r="4588" spans="1:1">
      <c r="A4588" s="151" t="s">
        <v>6556</v>
      </c>
    </row>
    <row r="4589" spans="1:1">
      <c r="A4589" s="151" t="s">
        <v>6557</v>
      </c>
    </row>
    <row r="4590" spans="1:1">
      <c r="A4590" s="151" t="s">
        <v>6558</v>
      </c>
    </row>
    <row r="4591" spans="1:1">
      <c r="A4591" s="151" t="s">
        <v>6559</v>
      </c>
    </row>
    <row r="4592" spans="1:1">
      <c r="A4592" s="151" t="s">
        <v>6560</v>
      </c>
    </row>
    <row r="4593" spans="1:1">
      <c r="A4593" s="151" t="s">
        <v>6561</v>
      </c>
    </row>
    <row r="4594" spans="1:1">
      <c r="A4594" s="151" t="s">
        <v>6562</v>
      </c>
    </row>
    <row r="4595" spans="1:1">
      <c r="A4595" s="151" t="s">
        <v>6563</v>
      </c>
    </row>
    <row r="4596" spans="1:1">
      <c r="A4596" s="151" t="s">
        <v>6564</v>
      </c>
    </row>
    <row r="4597" spans="1:1">
      <c r="A4597" s="151" t="s">
        <v>6565</v>
      </c>
    </row>
    <row r="4598" spans="1:1">
      <c r="A4598" s="151" t="s">
        <v>6566</v>
      </c>
    </row>
    <row r="4599" spans="1:1">
      <c r="A4599" s="151" t="s">
        <v>6567</v>
      </c>
    </row>
    <row r="4600" spans="1:1">
      <c r="A4600" s="151" t="s">
        <v>6568</v>
      </c>
    </row>
    <row r="4601" spans="1:1">
      <c r="A4601" s="151" t="s">
        <v>6569</v>
      </c>
    </row>
    <row r="4602" spans="1:1">
      <c r="A4602" s="151" t="s">
        <v>6570</v>
      </c>
    </row>
    <row r="4603" spans="1:1">
      <c r="A4603" s="151" t="s">
        <v>6571</v>
      </c>
    </row>
    <row r="4604" spans="1:1">
      <c r="A4604" s="151" t="s">
        <v>6572</v>
      </c>
    </row>
    <row r="4605" spans="1:1">
      <c r="A4605" s="151" t="s">
        <v>6573</v>
      </c>
    </row>
    <row r="4606" spans="1:1">
      <c r="A4606" s="151" t="s">
        <v>6574</v>
      </c>
    </row>
    <row r="4607" spans="1:1">
      <c r="A4607" s="151" t="s">
        <v>6575</v>
      </c>
    </row>
    <row r="4608" spans="1:1">
      <c r="A4608" s="151" t="s">
        <v>6576</v>
      </c>
    </row>
    <row r="4609" spans="1:1">
      <c r="A4609" s="151" t="s">
        <v>6577</v>
      </c>
    </row>
    <row r="4610" spans="1:1">
      <c r="A4610" s="151" t="s">
        <v>6578</v>
      </c>
    </row>
    <row r="4611" spans="1:1">
      <c r="A4611" s="151" t="s">
        <v>6579</v>
      </c>
    </row>
    <row r="4612" spans="1:1">
      <c r="A4612" s="151" t="s">
        <v>6580</v>
      </c>
    </row>
    <row r="4613" spans="1:1">
      <c r="A4613" s="151" t="s">
        <v>6581</v>
      </c>
    </row>
    <row r="4614" spans="1:1">
      <c r="A4614" s="151" t="s">
        <v>6582</v>
      </c>
    </row>
    <row r="4615" spans="1:1">
      <c r="A4615" s="151" t="s">
        <v>6583</v>
      </c>
    </row>
    <row r="4616" spans="1:1">
      <c r="A4616" s="151" t="s">
        <v>6584</v>
      </c>
    </row>
    <row r="4617" spans="1:1">
      <c r="A4617" s="151" t="s">
        <v>6585</v>
      </c>
    </row>
    <row r="4618" spans="1:1">
      <c r="A4618" s="151" t="s">
        <v>6586</v>
      </c>
    </row>
    <row r="4619" spans="1:1">
      <c r="A4619" s="151" t="s">
        <v>6587</v>
      </c>
    </row>
    <row r="4620" spans="1:1">
      <c r="A4620" s="151" t="s">
        <v>6588</v>
      </c>
    </row>
    <row r="4621" spans="1:1">
      <c r="A4621" s="151" t="s">
        <v>6589</v>
      </c>
    </row>
    <row r="4622" spans="1:1">
      <c r="A4622" s="151" t="s">
        <v>6590</v>
      </c>
    </row>
    <row r="4623" spans="1:1">
      <c r="A4623" s="151" t="s">
        <v>6591</v>
      </c>
    </row>
    <row r="4624" spans="1:1">
      <c r="A4624" s="151" t="s">
        <v>6592</v>
      </c>
    </row>
    <row r="4625" spans="1:1">
      <c r="A4625" s="151" t="s">
        <v>6593</v>
      </c>
    </row>
    <row r="4626" spans="1:1">
      <c r="A4626" s="151" t="s">
        <v>6594</v>
      </c>
    </row>
    <row r="4627" spans="1:1">
      <c r="A4627" s="151" t="s">
        <v>6595</v>
      </c>
    </row>
    <row r="4628" spans="1:1">
      <c r="A4628" s="151" t="s">
        <v>6596</v>
      </c>
    </row>
    <row r="4629" spans="1:1">
      <c r="A4629" s="151" t="s">
        <v>6597</v>
      </c>
    </row>
    <row r="4630" spans="1:1">
      <c r="A4630" s="151" t="s">
        <v>6598</v>
      </c>
    </row>
    <row r="4631" spans="1:1">
      <c r="A4631" s="151" t="s">
        <v>6599</v>
      </c>
    </row>
    <row r="4632" spans="1:1">
      <c r="A4632" s="151" t="s">
        <v>6600</v>
      </c>
    </row>
    <row r="4633" spans="1:1">
      <c r="A4633" s="151" t="s">
        <v>6601</v>
      </c>
    </row>
    <row r="4634" spans="1:1">
      <c r="A4634" s="151" t="s">
        <v>6602</v>
      </c>
    </row>
    <row r="4635" spans="1:1">
      <c r="A4635" s="151" t="s">
        <v>6603</v>
      </c>
    </row>
    <row r="4636" spans="1:1">
      <c r="A4636" s="151" t="s">
        <v>6604</v>
      </c>
    </row>
    <row r="4637" spans="1:1">
      <c r="A4637" s="151" t="s">
        <v>6605</v>
      </c>
    </row>
    <row r="4638" spans="1:1">
      <c r="A4638" s="151" t="s">
        <v>6606</v>
      </c>
    </row>
    <row r="4639" spans="1:1">
      <c r="A4639" s="151" t="s">
        <v>6607</v>
      </c>
    </row>
    <row r="4640" spans="1:1">
      <c r="A4640" s="151" t="s">
        <v>6608</v>
      </c>
    </row>
    <row r="4641" spans="1:1">
      <c r="A4641" s="151" t="s">
        <v>6609</v>
      </c>
    </row>
    <row r="4642" spans="1:1">
      <c r="A4642" s="151" t="s">
        <v>6610</v>
      </c>
    </row>
    <row r="4643" spans="1:1">
      <c r="A4643" s="151" t="s">
        <v>6611</v>
      </c>
    </row>
    <row r="4644" spans="1:1">
      <c r="A4644" s="151" t="s">
        <v>6612</v>
      </c>
    </row>
    <row r="4645" spans="1:1">
      <c r="A4645" s="151" t="s">
        <v>6613</v>
      </c>
    </row>
    <row r="4646" spans="1:1">
      <c r="A4646" s="151" t="s">
        <v>6614</v>
      </c>
    </row>
    <row r="4647" spans="1:1">
      <c r="A4647" s="151" t="s">
        <v>6615</v>
      </c>
    </row>
    <row r="4648" spans="1:1">
      <c r="A4648" s="151" t="s">
        <v>6616</v>
      </c>
    </row>
    <row r="4649" spans="1:1">
      <c r="A4649" s="151" t="s">
        <v>6617</v>
      </c>
    </row>
    <row r="4650" spans="1:1">
      <c r="A4650" s="151" t="s">
        <v>6618</v>
      </c>
    </row>
    <row r="4651" spans="1:1">
      <c r="A4651" s="151" t="s">
        <v>6619</v>
      </c>
    </row>
    <row r="4652" spans="1:1">
      <c r="A4652" s="151" t="s">
        <v>6620</v>
      </c>
    </row>
    <row r="4653" spans="1:1">
      <c r="A4653" s="151" t="s">
        <v>6621</v>
      </c>
    </row>
    <row r="4654" spans="1:1">
      <c r="A4654" s="151" t="s">
        <v>6622</v>
      </c>
    </row>
    <row r="4655" spans="1:1">
      <c r="A4655" s="151" t="s">
        <v>6623</v>
      </c>
    </row>
    <row r="4656" spans="1:1">
      <c r="A4656" s="151" t="s">
        <v>6624</v>
      </c>
    </row>
    <row r="4657" spans="1:1">
      <c r="A4657" s="151" t="s">
        <v>6625</v>
      </c>
    </row>
    <row r="4658" spans="1:1">
      <c r="A4658" s="151" t="s">
        <v>6626</v>
      </c>
    </row>
    <row r="4659" spans="1:1">
      <c r="A4659" s="151" t="s">
        <v>6627</v>
      </c>
    </row>
    <row r="4660" spans="1:1">
      <c r="A4660" s="151" t="s">
        <v>6628</v>
      </c>
    </row>
    <row r="4661" spans="1:1">
      <c r="A4661" s="151" t="s">
        <v>6629</v>
      </c>
    </row>
    <row r="4662" spans="1:1">
      <c r="A4662" s="151" t="s">
        <v>6630</v>
      </c>
    </row>
    <row r="4663" spans="1:1">
      <c r="A4663" s="151" t="s">
        <v>6631</v>
      </c>
    </row>
    <row r="4664" spans="1:1">
      <c r="A4664" s="151" t="s">
        <v>6632</v>
      </c>
    </row>
    <row r="4665" spans="1:1">
      <c r="A4665" s="151" t="s">
        <v>6633</v>
      </c>
    </row>
    <row r="4666" spans="1:1">
      <c r="A4666" s="151" t="s">
        <v>6634</v>
      </c>
    </row>
    <row r="4667" spans="1:1">
      <c r="A4667" s="151" t="s">
        <v>6635</v>
      </c>
    </row>
    <row r="4668" spans="1:1">
      <c r="A4668" s="151" t="s">
        <v>6636</v>
      </c>
    </row>
    <row r="4669" spans="1:1">
      <c r="A4669" s="151" t="s">
        <v>6637</v>
      </c>
    </row>
    <row r="4670" spans="1:1">
      <c r="A4670" s="151" t="s">
        <v>6638</v>
      </c>
    </row>
    <row r="4671" spans="1:1">
      <c r="A4671" s="151" t="s">
        <v>6639</v>
      </c>
    </row>
    <row r="4672" spans="1:1">
      <c r="A4672" s="151" t="s">
        <v>6640</v>
      </c>
    </row>
    <row r="4673" spans="1:1">
      <c r="A4673" s="151" t="s">
        <v>6641</v>
      </c>
    </row>
    <row r="4674" spans="1:1">
      <c r="A4674" s="151" t="s">
        <v>6642</v>
      </c>
    </row>
    <row r="4675" spans="1:1">
      <c r="A4675" s="151" t="s">
        <v>6643</v>
      </c>
    </row>
    <row r="4676" spans="1:1">
      <c r="A4676" s="151" t="s">
        <v>6644</v>
      </c>
    </row>
    <row r="4677" spans="1:1">
      <c r="A4677" s="151" t="s">
        <v>6645</v>
      </c>
    </row>
    <row r="4678" spans="1:1">
      <c r="A4678" s="151" t="s">
        <v>6646</v>
      </c>
    </row>
    <row r="4679" spans="1:1">
      <c r="A4679" s="151" t="s">
        <v>6647</v>
      </c>
    </row>
    <row r="4680" spans="1:1">
      <c r="A4680" s="151" t="s">
        <v>6648</v>
      </c>
    </row>
    <row r="4681" spans="1:1">
      <c r="A4681" s="151" t="s">
        <v>6649</v>
      </c>
    </row>
    <row r="4682" spans="1:1">
      <c r="A4682" s="151" t="s">
        <v>6650</v>
      </c>
    </row>
    <row r="4683" spans="1:1">
      <c r="A4683" s="151" t="s">
        <v>6651</v>
      </c>
    </row>
    <row r="4684" spans="1:1">
      <c r="A4684" s="151" t="s">
        <v>6652</v>
      </c>
    </row>
    <row r="4685" spans="1:1">
      <c r="A4685" s="151" t="s">
        <v>6653</v>
      </c>
    </row>
    <row r="4686" spans="1:1">
      <c r="A4686" s="151" t="s">
        <v>6654</v>
      </c>
    </row>
    <row r="4687" spans="1:1">
      <c r="A4687" s="151" t="s">
        <v>6655</v>
      </c>
    </row>
    <row r="4688" spans="1:1">
      <c r="A4688" s="151" t="s">
        <v>6656</v>
      </c>
    </row>
    <row r="4689" spans="1:1">
      <c r="A4689" s="151" t="s">
        <v>6657</v>
      </c>
    </row>
    <row r="4690" spans="1:1">
      <c r="A4690" s="151" t="s">
        <v>6658</v>
      </c>
    </row>
    <row r="4691" spans="1:1">
      <c r="A4691" s="151" t="s">
        <v>6659</v>
      </c>
    </row>
    <row r="4692" spans="1:1">
      <c r="A4692" s="151" t="s">
        <v>6660</v>
      </c>
    </row>
    <row r="4693" spans="1:1">
      <c r="A4693" s="151" t="s">
        <v>6661</v>
      </c>
    </row>
    <row r="4694" spans="1:1">
      <c r="A4694" s="151" t="s">
        <v>6662</v>
      </c>
    </row>
    <row r="4695" spans="1:1">
      <c r="A4695" s="151" t="s">
        <v>6663</v>
      </c>
    </row>
    <row r="4696" spans="1:1">
      <c r="A4696" s="151" t="s">
        <v>6664</v>
      </c>
    </row>
    <row r="4697" spans="1:1">
      <c r="A4697" s="151" t="s">
        <v>6665</v>
      </c>
    </row>
    <row r="4698" spans="1:1">
      <c r="A4698" s="151" t="s">
        <v>6666</v>
      </c>
    </row>
    <row r="4699" spans="1:1">
      <c r="A4699" s="151" t="s">
        <v>6667</v>
      </c>
    </row>
    <row r="4700" spans="1:1">
      <c r="A4700" s="151" t="s">
        <v>6668</v>
      </c>
    </row>
    <row r="4701" spans="1:1">
      <c r="A4701" s="151" t="s">
        <v>6669</v>
      </c>
    </row>
    <row r="4702" spans="1:1">
      <c r="A4702" s="151" t="s">
        <v>6670</v>
      </c>
    </row>
    <row r="4703" spans="1:1">
      <c r="A4703" s="151" t="s">
        <v>6671</v>
      </c>
    </row>
    <row r="4704" spans="1:1">
      <c r="A4704" s="151" t="s">
        <v>6672</v>
      </c>
    </row>
    <row r="4705" spans="1:1">
      <c r="A4705" s="151" t="s">
        <v>6673</v>
      </c>
    </row>
    <row r="4706" spans="1:1">
      <c r="A4706" s="151" t="s">
        <v>6674</v>
      </c>
    </row>
    <row r="4707" spans="1:1">
      <c r="A4707" s="151" t="s">
        <v>6675</v>
      </c>
    </row>
    <row r="4708" spans="1:1">
      <c r="A4708" s="151" t="s">
        <v>6676</v>
      </c>
    </row>
    <row r="4709" spans="1:1">
      <c r="A4709" s="151" t="s">
        <v>6677</v>
      </c>
    </row>
    <row r="4710" spans="1:1">
      <c r="A4710" s="151" t="s">
        <v>6678</v>
      </c>
    </row>
    <row r="4711" spans="1:1">
      <c r="A4711" s="151" t="s">
        <v>6679</v>
      </c>
    </row>
    <row r="4712" spans="1:1">
      <c r="A4712" s="151" t="s">
        <v>6680</v>
      </c>
    </row>
    <row r="4713" spans="1:1">
      <c r="A4713" s="151" t="s">
        <v>6681</v>
      </c>
    </row>
    <row r="4714" spans="1:1">
      <c r="A4714" s="151" t="s">
        <v>6682</v>
      </c>
    </row>
    <row r="4715" spans="1:1">
      <c r="A4715" s="151" t="s">
        <v>6683</v>
      </c>
    </row>
    <row r="4716" spans="1:1">
      <c r="A4716" s="151" t="s">
        <v>6684</v>
      </c>
    </row>
    <row r="4717" spans="1:1">
      <c r="A4717" s="151" t="s">
        <v>6685</v>
      </c>
    </row>
    <row r="4718" spans="1:1">
      <c r="A4718" s="151" t="s">
        <v>6686</v>
      </c>
    </row>
    <row r="4719" spans="1:1">
      <c r="A4719" s="151" t="s">
        <v>6687</v>
      </c>
    </row>
    <row r="4720" spans="1:1">
      <c r="A4720" s="151" t="s">
        <v>6688</v>
      </c>
    </row>
    <row r="4721" spans="1:1">
      <c r="A4721" s="151" t="s">
        <v>6689</v>
      </c>
    </row>
    <row r="4722" spans="1:1">
      <c r="A4722" s="151" t="s">
        <v>6690</v>
      </c>
    </row>
    <row r="4723" spans="1:1">
      <c r="A4723" s="151" t="s">
        <v>6691</v>
      </c>
    </row>
    <row r="4724" spans="1:1">
      <c r="A4724" s="151" t="s">
        <v>6692</v>
      </c>
    </row>
    <row r="4725" spans="1:1">
      <c r="A4725" s="151" t="s">
        <v>6693</v>
      </c>
    </row>
    <row r="4726" spans="1:1">
      <c r="A4726" s="151" t="s">
        <v>6694</v>
      </c>
    </row>
    <row r="4727" spans="1:1">
      <c r="A4727" s="151" t="s">
        <v>6695</v>
      </c>
    </row>
    <row r="4728" spans="1:1">
      <c r="A4728" s="151" t="s">
        <v>6696</v>
      </c>
    </row>
    <row r="4729" spans="1:1">
      <c r="A4729" s="151" t="s">
        <v>6697</v>
      </c>
    </row>
    <row r="4730" spans="1:1">
      <c r="A4730" s="151" t="s">
        <v>6698</v>
      </c>
    </row>
    <row r="4731" spans="1:1">
      <c r="A4731" s="151" t="s">
        <v>6699</v>
      </c>
    </row>
    <row r="4732" spans="1:1">
      <c r="A4732" s="151" t="s">
        <v>6700</v>
      </c>
    </row>
    <row r="4733" spans="1:1">
      <c r="A4733" s="151" t="s">
        <v>6701</v>
      </c>
    </row>
    <row r="4734" spans="1:1">
      <c r="A4734" s="151" t="s">
        <v>6702</v>
      </c>
    </row>
    <row r="4735" spans="1:1">
      <c r="A4735" s="151" t="s">
        <v>6703</v>
      </c>
    </row>
    <row r="4736" spans="1:1">
      <c r="A4736" s="151" t="s">
        <v>6704</v>
      </c>
    </row>
    <row r="4737" spans="1:1">
      <c r="A4737" s="151" t="s">
        <v>6705</v>
      </c>
    </row>
    <row r="4738" spans="1:1">
      <c r="A4738" s="151" t="s">
        <v>6706</v>
      </c>
    </row>
    <row r="4739" spans="1:1">
      <c r="A4739" s="151" t="s">
        <v>6707</v>
      </c>
    </row>
    <row r="4740" spans="1:1">
      <c r="A4740" s="151" t="s">
        <v>6708</v>
      </c>
    </row>
    <row r="4741" spans="1:1">
      <c r="A4741" s="151" t="s">
        <v>6709</v>
      </c>
    </row>
    <row r="4742" spans="1:1">
      <c r="A4742" s="151" t="s">
        <v>6710</v>
      </c>
    </row>
    <row r="4743" spans="1:1">
      <c r="A4743" s="151" t="s">
        <v>6711</v>
      </c>
    </row>
    <row r="4744" spans="1:1">
      <c r="A4744" s="151" t="s">
        <v>6712</v>
      </c>
    </row>
    <row r="4745" spans="1:1">
      <c r="A4745" s="151" t="s">
        <v>6713</v>
      </c>
    </row>
    <row r="4746" spans="1:1">
      <c r="A4746" s="151" t="s">
        <v>6714</v>
      </c>
    </row>
    <row r="4747" spans="1:1">
      <c r="A4747" s="151" t="s">
        <v>6715</v>
      </c>
    </row>
    <row r="4748" spans="1:1">
      <c r="A4748" s="151" t="s">
        <v>6716</v>
      </c>
    </row>
    <row r="4749" spans="1:1">
      <c r="A4749" s="151" t="s">
        <v>6717</v>
      </c>
    </row>
    <row r="4750" spans="1:1">
      <c r="A4750" s="151" t="s">
        <v>6718</v>
      </c>
    </row>
    <row r="4751" spans="1:1">
      <c r="A4751" s="151" t="s">
        <v>6719</v>
      </c>
    </row>
    <row r="4752" spans="1:1">
      <c r="A4752" s="151" t="s">
        <v>6720</v>
      </c>
    </row>
    <row r="4753" spans="1:1">
      <c r="A4753" s="151" t="s">
        <v>6721</v>
      </c>
    </row>
    <row r="4754" spans="1:1">
      <c r="A4754" s="151" t="s">
        <v>6722</v>
      </c>
    </row>
    <row r="4755" spans="1:1">
      <c r="A4755" s="151" t="s">
        <v>6723</v>
      </c>
    </row>
    <row r="4756" spans="1:1">
      <c r="A4756" s="151" t="s">
        <v>6724</v>
      </c>
    </row>
    <row r="4757" spans="1:1">
      <c r="A4757" s="151" t="s">
        <v>6725</v>
      </c>
    </row>
    <row r="4758" spans="1:1">
      <c r="A4758" s="151" t="s">
        <v>6726</v>
      </c>
    </row>
    <row r="4759" spans="1:1">
      <c r="A4759" s="151" t="s">
        <v>6727</v>
      </c>
    </row>
    <row r="4760" spans="1:1">
      <c r="A4760" s="151" t="s">
        <v>6728</v>
      </c>
    </row>
    <row r="4761" spans="1:1">
      <c r="A4761" s="151" t="s">
        <v>6729</v>
      </c>
    </row>
    <row r="4762" spans="1:1">
      <c r="A4762" s="151" t="s">
        <v>6730</v>
      </c>
    </row>
    <row r="4763" spans="1:1">
      <c r="A4763" s="151" t="s">
        <v>6731</v>
      </c>
    </row>
    <row r="4764" spans="1:1">
      <c r="A4764" s="151" t="s">
        <v>6732</v>
      </c>
    </row>
    <row r="4765" spans="1:1">
      <c r="A4765" s="151" t="s">
        <v>6733</v>
      </c>
    </row>
    <row r="4766" spans="1:1">
      <c r="A4766" s="151" t="s">
        <v>6734</v>
      </c>
    </row>
    <row r="4767" spans="1:1">
      <c r="A4767" s="151" t="s">
        <v>6735</v>
      </c>
    </row>
    <row r="4768" spans="1:1">
      <c r="A4768" s="151" t="s">
        <v>6736</v>
      </c>
    </row>
    <row r="4769" spans="1:1">
      <c r="A4769" s="151" t="s">
        <v>6737</v>
      </c>
    </row>
    <row r="4770" spans="1:1">
      <c r="A4770" s="151" t="s">
        <v>6738</v>
      </c>
    </row>
    <row r="4771" spans="1:1">
      <c r="A4771" s="151" t="s">
        <v>6739</v>
      </c>
    </row>
    <row r="4772" spans="1:1">
      <c r="A4772" s="151" t="s">
        <v>6740</v>
      </c>
    </row>
    <row r="4773" spans="1:1">
      <c r="A4773" s="151" t="s">
        <v>6741</v>
      </c>
    </row>
    <row r="4774" spans="1:1">
      <c r="A4774" s="151" t="s">
        <v>6742</v>
      </c>
    </row>
    <row r="4775" spans="1:1">
      <c r="A4775" s="151" t="s">
        <v>6743</v>
      </c>
    </row>
    <row r="4776" spans="1:1">
      <c r="A4776" s="151" t="s">
        <v>6744</v>
      </c>
    </row>
    <row r="4777" spans="1:1">
      <c r="A4777" s="151" t="s">
        <v>6745</v>
      </c>
    </row>
    <row r="4778" spans="1:1">
      <c r="A4778" s="151" t="s">
        <v>6746</v>
      </c>
    </row>
    <row r="4779" spans="1:1">
      <c r="A4779" s="151" t="s">
        <v>6747</v>
      </c>
    </row>
    <row r="4780" spans="1:1">
      <c r="A4780" s="151" t="s">
        <v>6748</v>
      </c>
    </row>
    <row r="4781" spans="1:1">
      <c r="A4781" s="151" t="s">
        <v>6749</v>
      </c>
    </row>
    <row r="4782" spans="1:1">
      <c r="A4782" s="151" t="s">
        <v>6750</v>
      </c>
    </row>
    <row r="4783" spans="1:1">
      <c r="A4783" s="151" t="s">
        <v>6751</v>
      </c>
    </row>
    <row r="4784" spans="1:1">
      <c r="A4784" s="151" t="s">
        <v>6752</v>
      </c>
    </row>
    <row r="4785" spans="1:1">
      <c r="A4785" s="151" t="s">
        <v>6753</v>
      </c>
    </row>
    <row r="4786" spans="1:1">
      <c r="A4786" s="151" t="s">
        <v>6754</v>
      </c>
    </row>
    <row r="4787" spans="1:1">
      <c r="A4787" s="151" t="s">
        <v>6755</v>
      </c>
    </row>
    <row r="4788" spans="1:1">
      <c r="A4788" s="151" t="s">
        <v>6756</v>
      </c>
    </row>
    <row r="4789" spans="1:1">
      <c r="A4789" s="151" t="s">
        <v>6757</v>
      </c>
    </row>
    <row r="4790" spans="1:1">
      <c r="A4790" s="151" t="s">
        <v>6758</v>
      </c>
    </row>
    <row r="4791" spans="1:1">
      <c r="A4791" s="151" t="s">
        <v>6759</v>
      </c>
    </row>
    <row r="4792" spans="1:1">
      <c r="A4792" s="151" t="s">
        <v>6760</v>
      </c>
    </row>
    <row r="4793" spans="1:1">
      <c r="A4793" s="151" t="s">
        <v>6761</v>
      </c>
    </row>
    <row r="4794" spans="1:1">
      <c r="A4794" s="151" t="s">
        <v>6762</v>
      </c>
    </row>
    <row r="4795" spans="1:1">
      <c r="A4795" s="151" t="s">
        <v>6763</v>
      </c>
    </row>
    <row r="4796" spans="1:1">
      <c r="A4796" s="151" t="s">
        <v>6764</v>
      </c>
    </row>
    <row r="4797" spans="1:1">
      <c r="A4797" s="151" t="s">
        <v>6765</v>
      </c>
    </row>
    <row r="4798" spans="1:1">
      <c r="A4798" s="151" t="s">
        <v>6766</v>
      </c>
    </row>
    <row r="4799" spans="1:1">
      <c r="A4799" s="151" t="s">
        <v>6767</v>
      </c>
    </row>
    <row r="4800" spans="1:1">
      <c r="A4800" s="151" t="s">
        <v>6768</v>
      </c>
    </row>
    <row r="4801" spans="1:1">
      <c r="A4801" s="151" t="s">
        <v>6769</v>
      </c>
    </row>
    <row r="4802" spans="1:1">
      <c r="A4802" s="151" t="s">
        <v>6770</v>
      </c>
    </row>
    <row r="4803" spans="1:1">
      <c r="A4803" s="151" t="s">
        <v>6771</v>
      </c>
    </row>
    <row r="4804" spans="1:1">
      <c r="A4804" s="151" t="s">
        <v>6772</v>
      </c>
    </row>
    <row r="4805" spans="1:1">
      <c r="A4805" s="151" t="s">
        <v>6773</v>
      </c>
    </row>
    <row r="4806" spans="1:1">
      <c r="A4806" s="151" t="s">
        <v>6774</v>
      </c>
    </row>
    <row r="4807" spans="1:1">
      <c r="A4807" s="151" t="s">
        <v>6775</v>
      </c>
    </row>
    <row r="4808" spans="1:1">
      <c r="A4808" s="151" t="s">
        <v>6776</v>
      </c>
    </row>
    <row r="4809" spans="1:1">
      <c r="A4809" s="151" t="s">
        <v>6777</v>
      </c>
    </row>
    <row r="4810" spans="1:1">
      <c r="A4810" s="151" t="s">
        <v>6778</v>
      </c>
    </row>
    <row r="4811" spans="1:1">
      <c r="A4811" s="151" t="s">
        <v>6779</v>
      </c>
    </row>
    <row r="4812" spans="1:1">
      <c r="A4812" s="151" t="s">
        <v>6780</v>
      </c>
    </row>
    <row r="4813" spans="1:1">
      <c r="A4813" s="151" t="s">
        <v>6781</v>
      </c>
    </row>
    <row r="4814" spans="1:1">
      <c r="A4814" s="151" t="s">
        <v>6782</v>
      </c>
    </row>
    <row r="4815" spans="1:1">
      <c r="A4815" s="151" t="s">
        <v>6783</v>
      </c>
    </row>
    <row r="4816" spans="1:1">
      <c r="A4816" s="151" t="s">
        <v>6784</v>
      </c>
    </row>
    <row r="4817" spans="1:1">
      <c r="A4817" s="151" t="s">
        <v>6785</v>
      </c>
    </row>
    <row r="4818" spans="1:1">
      <c r="A4818" s="151" t="s">
        <v>6786</v>
      </c>
    </row>
    <row r="4819" spans="1:1">
      <c r="A4819" s="151" t="s">
        <v>6787</v>
      </c>
    </row>
    <row r="4820" spans="1:1">
      <c r="A4820" s="151" t="s">
        <v>6788</v>
      </c>
    </row>
    <row r="4821" spans="1:1">
      <c r="A4821" s="151" t="s">
        <v>6789</v>
      </c>
    </row>
    <row r="4822" spans="1:1">
      <c r="A4822" s="151" t="s">
        <v>6790</v>
      </c>
    </row>
    <row r="4823" spans="1:1">
      <c r="A4823" s="151" t="s">
        <v>6791</v>
      </c>
    </row>
    <row r="4824" spans="1:1">
      <c r="A4824" s="151" t="s">
        <v>6792</v>
      </c>
    </row>
    <row r="4825" spans="1:1">
      <c r="A4825" s="151" t="s">
        <v>6793</v>
      </c>
    </row>
    <row r="4826" spans="1:1">
      <c r="A4826" s="151" t="s">
        <v>6794</v>
      </c>
    </row>
    <row r="4827" spans="1:1">
      <c r="A4827" s="151" t="s">
        <v>6795</v>
      </c>
    </row>
    <row r="4828" spans="1:1">
      <c r="A4828" s="151" t="s">
        <v>6796</v>
      </c>
    </row>
    <row r="4829" spans="1:1">
      <c r="A4829" s="151" t="s">
        <v>6797</v>
      </c>
    </row>
    <row r="4830" spans="1:1">
      <c r="A4830" s="151" t="s">
        <v>6798</v>
      </c>
    </row>
    <row r="4831" spans="1:1">
      <c r="A4831" s="151" t="s">
        <v>6799</v>
      </c>
    </row>
    <row r="4832" spans="1:1">
      <c r="A4832" s="151" t="s">
        <v>6800</v>
      </c>
    </row>
    <row r="4833" spans="1:1">
      <c r="A4833" s="151" t="s">
        <v>6801</v>
      </c>
    </row>
    <row r="4834" spans="1:1">
      <c r="A4834" s="151" t="s">
        <v>6802</v>
      </c>
    </row>
    <row r="4835" spans="1:1">
      <c r="A4835" s="151" t="s">
        <v>6803</v>
      </c>
    </row>
    <row r="4836" spans="1:1">
      <c r="A4836" s="151" t="s">
        <v>6804</v>
      </c>
    </row>
    <row r="4837" spans="1:1">
      <c r="A4837" s="151" t="s">
        <v>6805</v>
      </c>
    </row>
    <row r="4838" spans="1:1">
      <c r="A4838" s="151" t="s">
        <v>6806</v>
      </c>
    </row>
    <row r="4839" spans="1:1">
      <c r="A4839" s="151" t="s">
        <v>6807</v>
      </c>
    </row>
    <row r="4840" spans="1:1">
      <c r="A4840" s="151" t="s">
        <v>6808</v>
      </c>
    </row>
    <row r="4841" spans="1:1">
      <c r="A4841" s="151" t="s">
        <v>6809</v>
      </c>
    </row>
    <row r="4842" spans="1:1">
      <c r="A4842" s="151" t="s">
        <v>6810</v>
      </c>
    </row>
    <row r="4843" spans="1:1">
      <c r="A4843" s="151" t="s">
        <v>6811</v>
      </c>
    </row>
    <row r="4844" spans="1:1">
      <c r="A4844" s="151" t="s">
        <v>6812</v>
      </c>
    </row>
    <row r="4845" spans="1:1">
      <c r="A4845" s="151" t="s">
        <v>6813</v>
      </c>
    </row>
    <row r="4846" spans="1:1">
      <c r="A4846" s="151" t="s">
        <v>6814</v>
      </c>
    </row>
    <row r="4847" spans="1:1">
      <c r="A4847" s="151" t="s">
        <v>6815</v>
      </c>
    </row>
    <row r="4848" spans="1:1">
      <c r="A4848" s="151" t="s">
        <v>6816</v>
      </c>
    </row>
    <row r="4849" spans="1:1">
      <c r="A4849" s="151" t="s">
        <v>6817</v>
      </c>
    </row>
    <row r="4850" spans="1:1">
      <c r="A4850" s="151" t="s">
        <v>6818</v>
      </c>
    </row>
    <row r="4851" spans="1:1">
      <c r="A4851" s="151" t="s">
        <v>6819</v>
      </c>
    </row>
    <row r="4852" spans="1:1">
      <c r="A4852" s="151" t="s">
        <v>6820</v>
      </c>
    </row>
    <row r="4853" spans="1:1">
      <c r="A4853" s="151" t="s">
        <v>6821</v>
      </c>
    </row>
    <row r="4854" spans="1:1">
      <c r="A4854" s="151" t="s">
        <v>6822</v>
      </c>
    </row>
    <row r="4855" spans="1:1">
      <c r="A4855" s="151" t="s">
        <v>6823</v>
      </c>
    </row>
    <row r="4856" spans="1:1">
      <c r="A4856" s="151" t="s">
        <v>6824</v>
      </c>
    </row>
    <row r="4857" spans="1:1">
      <c r="A4857" s="151" t="s">
        <v>6825</v>
      </c>
    </row>
    <row r="4858" spans="1:1">
      <c r="A4858" s="151" t="s">
        <v>6826</v>
      </c>
    </row>
    <row r="4859" spans="1:1">
      <c r="A4859" s="151" t="s">
        <v>6827</v>
      </c>
    </row>
    <row r="4860" spans="1:1">
      <c r="A4860" s="151" t="s">
        <v>6828</v>
      </c>
    </row>
    <row r="4861" spans="1:1">
      <c r="A4861" s="151" t="s">
        <v>6829</v>
      </c>
    </row>
    <row r="4862" spans="1:1">
      <c r="A4862" s="151" t="s">
        <v>6830</v>
      </c>
    </row>
    <row r="4863" spans="1:1">
      <c r="A4863" s="151" t="s">
        <v>6831</v>
      </c>
    </row>
    <row r="4864" spans="1:1">
      <c r="A4864" s="151" t="s">
        <v>6832</v>
      </c>
    </row>
    <row r="4865" spans="1:1">
      <c r="A4865" s="151" t="s">
        <v>6833</v>
      </c>
    </row>
    <row r="4866" spans="1:1">
      <c r="A4866" s="151" t="s">
        <v>6834</v>
      </c>
    </row>
    <row r="4867" spans="1:1">
      <c r="A4867" s="151" t="s">
        <v>6835</v>
      </c>
    </row>
    <row r="4868" spans="1:1">
      <c r="A4868" s="151" t="s">
        <v>6836</v>
      </c>
    </row>
    <row r="4869" spans="1:1">
      <c r="A4869" s="151" t="s">
        <v>6837</v>
      </c>
    </row>
    <row r="4870" spans="1:1">
      <c r="A4870" s="151" t="s">
        <v>6838</v>
      </c>
    </row>
    <row r="4871" spans="1:1">
      <c r="A4871" s="151" t="s">
        <v>6839</v>
      </c>
    </row>
    <row r="4872" spans="1:1">
      <c r="A4872" s="151" t="s">
        <v>6840</v>
      </c>
    </row>
    <row r="4873" spans="1:1">
      <c r="A4873" s="151" t="s">
        <v>6841</v>
      </c>
    </row>
    <row r="4874" spans="1:1">
      <c r="A4874" s="151" t="s">
        <v>6842</v>
      </c>
    </row>
    <row r="4875" spans="1:1">
      <c r="A4875" s="151" t="s">
        <v>6843</v>
      </c>
    </row>
    <row r="4876" spans="1:1">
      <c r="A4876" s="151" t="s">
        <v>6844</v>
      </c>
    </row>
    <row r="4877" spans="1:1">
      <c r="A4877" s="151" t="s">
        <v>6845</v>
      </c>
    </row>
    <row r="4878" spans="1:1">
      <c r="A4878" s="151" t="s">
        <v>6846</v>
      </c>
    </row>
    <row r="4879" spans="1:1">
      <c r="A4879" s="151" t="s">
        <v>6847</v>
      </c>
    </row>
    <row r="4880" spans="1:1">
      <c r="A4880" s="151" t="s">
        <v>6848</v>
      </c>
    </row>
    <row r="4881" spans="1:1">
      <c r="A4881" s="151" t="s">
        <v>6849</v>
      </c>
    </row>
    <row r="4882" spans="1:1">
      <c r="A4882" s="151" t="s">
        <v>6850</v>
      </c>
    </row>
    <row r="4883" spans="1:1">
      <c r="A4883" s="151" t="s">
        <v>6851</v>
      </c>
    </row>
    <row r="4884" spans="1:1">
      <c r="A4884" s="151" t="s">
        <v>6852</v>
      </c>
    </row>
    <row r="4885" spans="1:1">
      <c r="A4885" s="151" t="s">
        <v>6853</v>
      </c>
    </row>
    <row r="4886" spans="1:1">
      <c r="A4886" s="151" t="s">
        <v>6854</v>
      </c>
    </row>
    <row r="4887" spans="1:1">
      <c r="A4887" s="151" t="s">
        <v>6855</v>
      </c>
    </row>
    <row r="4888" spans="1:1">
      <c r="A4888" s="151" t="s">
        <v>6856</v>
      </c>
    </row>
    <row r="4889" spans="1:1">
      <c r="A4889" s="151" t="s">
        <v>6857</v>
      </c>
    </row>
    <row r="4890" spans="1:1">
      <c r="A4890" s="151" t="s">
        <v>6858</v>
      </c>
    </row>
    <row r="4891" spans="1:1">
      <c r="A4891" s="151" t="s">
        <v>6859</v>
      </c>
    </row>
    <row r="4892" spans="1:1">
      <c r="A4892" s="151" t="s">
        <v>6860</v>
      </c>
    </row>
    <row r="4893" spans="1:1">
      <c r="A4893" s="151" t="s">
        <v>6861</v>
      </c>
    </row>
    <row r="4894" spans="1:1">
      <c r="A4894" s="151" t="s">
        <v>6862</v>
      </c>
    </row>
    <row r="4895" spans="1:1">
      <c r="A4895" s="151" t="s">
        <v>6863</v>
      </c>
    </row>
    <row r="4896" spans="1:1">
      <c r="A4896" s="151" t="s">
        <v>6864</v>
      </c>
    </row>
    <row r="4897" spans="1:1">
      <c r="A4897" s="151" t="s">
        <v>6865</v>
      </c>
    </row>
    <row r="4898" spans="1:1">
      <c r="A4898" s="151" t="s">
        <v>6866</v>
      </c>
    </row>
    <row r="4899" spans="1:1">
      <c r="A4899" s="151" t="s">
        <v>6867</v>
      </c>
    </row>
    <row r="4900" spans="1:1">
      <c r="A4900" s="151" t="s">
        <v>6868</v>
      </c>
    </row>
    <row r="4901" spans="1:1">
      <c r="A4901" s="151" t="s">
        <v>6869</v>
      </c>
    </row>
    <row r="4902" spans="1:1">
      <c r="A4902" s="151" t="s">
        <v>6870</v>
      </c>
    </row>
    <row r="4903" spans="1:1">
      <c r="A4903" s="151" t="s">
        <v>6871</v>
      </c>
    </row>
    <row r="4904" spans="1:1">
      <c r="A4904" s="151" t="s">
        <v>6872</v>
      </c>
    </row>
    <row r="4905" spans="1:1">
      <c r="A4905" s="151" t="s">
        <v>6873</v>
      </c>
    </row>
    <row r="4906" spans="1:1">
      <c r="A4906" s="151" t="s">
        <v>6874</v>
      </c>
    </row>
    <row r="4907" spans="1:1">
      <c r="A4907" s="151" t="s">
        <v>6875</v>
      </c>
    </row>
    <row r="4908" spans="1:1">
      <c r="A4908" s="151" t="s">
        <v>6876</v>
      </c>
    </row>
    <row r="4909" spans="1:1">
      <c r="A4909" s="151" t="s">
        <v>6877</v>
      </c>
    </row>
    <row r="4910" spans="1:1">
      <c r="A4910" s="151" t="s">
        <v>6878</v>
      </c>
    </row>
    <row r="4911" spans="1:1">
      <c r="A4911" s="151" t="s">
        <v>6879</v>
      </c>
    </row>
    <row r="4912" spans="1:1">
      <c r="A4912" s="151" t="s">
        <v>6880</v>
      </c>
    </row>
    <row r="4913" spans="1:1">
      <c r="A4913" s="151" t="s">
        <v>6881</v>
      </c>
    </row>
    <row r="4914" spans="1:1">
      <c r="A4914" s="151" t="s">
        <v>6882</v>
      </c>
    </row>
    <row r="4915" spans="1:1">
      <c r="A4915" s="151" t="s">
        <v>6883</v>
      </c>
    </row>
    <row r="4916" spans="1:1">
      <c r="A4916" s="151" t="s">
        <v>6884</v>
      </c>
    </row>
    <row r="4917" spans="1:1">
      <c r="A4917" s="151" t="s">
        <v>6885</v>
      </c>
    </row>
    <row r="4918" spans="1:1">
      <c r="A4918" s="151" t="s">
        <v>6886</v>
      </c>
    </row>
    <row r="4919" spans="1:1">
      <c r="A4919" s="151" t="s">
        <v>6887</v>
      </c>
    </row>
    <row r="4920" spans="1:1">
      <c r="A4920" s="151" t="s">
        <v>6888</v>
      </c>
    </row>
    <row r="4921" spans="1:1">
      <c r="A4921" s="151" t="s">
        <v>6889</v>
      </c>
    </row>
    <row r="4922" spans="1:1">
      <c r="A4922" s="151" t="s">
        <v>6890</v>
      </c>
    </row>
    <row r="4923" spans="1:1">
      <c r="A4923" s="151" t="s">
        <v>6891</v>
      </c>
    </row>
    <row r="4924" spans="1:1">
      <c r="A4924" s="151" t="s">
        <v>6892</v>
      </c>
    </row>
    <row r="4925" spans="1:1">
      <c r="A4925" s="151" t="s">
        <v>6893</v>
      </c>
    </row>
    <row r="4926" spans="1:1">
      <c r="A4926" s="151" t="s">
        <v>6894</v>
      </c>
    </row>
    <row r="4927" spans="1:1">
      <c r="A4927" s="151" t="s">
        <v>6895</v>
      </c>
    </row>
    <row r="4928" spans="1:1">
      <c r="A4928" s="151" t="s">
        <v>6896</v>
      </c>
    </row>
    <row r="4929" spans="1:1">
      <c r="A4929" s="151" t="s">
        <v>6897</v>
      </c>
    </row>
    <row r="4930" spans="1:1">
      <c r="A4930" s="151" t="s">
        <v>6898</v>
      </c>
    </row>
    <row r="4931" spans="1:1">
      <c r="A4931" s="151" t="s">
        <v>6899</v>
      </c>
    </row>
    <row r="4932" spans="1:1">
      <c r="A4932" s="151" t="s">
        <v>6900</v>
      </c>
    </row>
    <row r="4933" spans="1:1">
      <c r="A4933" s="151" t="s">
        <v>6901</v>
      </c>
    </row>
    <row r="4934" spans="1:1">
      <c r="A4934" s="151" t="s">
        <v>6902</v>
      </c>
    </row>
    <row r="4935" spans="1:1">
      <c r="A4935" s="151" t="s">
        <v>6903</v>
      </c>
    </row>
    <row r="4936" spans="1:1">
      <c r="A4936" s="151" t="s">
        <v>6904</v>
      </c>
    </row>
    <row r="4937" spans="1:1">
      <c r="A4937" s="151" t="s">
        <v>6905</v>
      </c>
    </row>
    <row r="4938" spans="1:1">
      <c r="A4938" s="151" t="s">
        <v>6906</v>
      </c>
    </row>
    <row r="4939" spans="1:1">
      <c r="A4939" s="151" t="s">
        <v>6907</v>
      </c>
    </row>
    <row r="4940" spans="1:1">
      <c r="A4940" s="151" t="s">
        <v>6908</v>
      </c>
    </row>
    <row r="4941" spans="1:1">
      <c r="A4941" s="151" t="s">
        <v>6909</v>
      </c>
    </row>
    <row r="4942" spans="1:1">
      <c r="A4942" s="151" t="s">
        <v>6910</v>
      </c>
    </row>
    <row r="4943" spans="1:1">
      <c r="A4943" s="151" t="s">
        <v>6911</v>
      </c>
    </row>
    <row r="4944" spans="1:1">
      <c r="A4944" s="151" t="s">
        <v>6912</v>
      </c>
    </row>
    <row r="4945" spans="1:1">
      <c r="A4945" s="151" t="s">
        <v>6913</v>
      </c>
    </row>
    <row r="4946" spans="1:1">
      <c r="A4946" s="151" t="s">
        <v>6914</v>
      </c>
    </row>
    <row r="4947" spans="1:1">
      <c r="A4947" s="151" t="s">
        <v>6915</v>
      </c>
    </row>
    <row r="4948" spans="1:1">
      <c r="A4948" s="151" t="s">
        <v>6916</v>
      </c>
    </row>
    <row r="4949" spans="1:1">
      <c r="A4949" s="151" t="s">
        <v>6917</v>
      </c>
    </row>
    <row r="4950" spans="1:1">
      <c r="A4950" s="151" t="s">
        <v>6918</v>
      </c>
    </row>
    <row r="4951" spans="1:1">
      <c r="A4951" s="151" t="s">
        <v>6919</v>
      </c>
    </row>
    <row r="4952" spans="1:1">
      <c r="A4952" s="151" t="s">
        <v>6920</v>
      </c>
    </row>
    <row r="4953" spans="1:1">
      <c r="A4953" s="151" t="s">
        <v>6921</v>
      </c>
    </row>
    <row r="4954" spans="1:1">
      <c r="A4954" s="151" t="s">
        <v>6922</v>
      </c>
    </row>
    <row r="4955" spans="1:1">
      <c r="A4955" s="151" t="s">
        <v>6923</v>
      </c>
    </row>
    <row r="4956" spans="1:1">
      <c r="A4956" s="151" t="s">
        <v>6924</v>
      </c>
    </row>
    <row r="4957" spans="1:1">
      <c r="A4957" s="151" t="s">
        <v>6925</v>
      </c>
    </row>
    <row r="4958" spans="1:1">
      <c r="A4958" s="151" t="s">
        <v>6926</v>
      </c>
    </row>
    <row r="4959" spans="1:1">
      <c r="A4959" s="151" t="s">
        <v>6927</v>
      </c>
    </row>
    <row r="4960" spans="1:1">
      <c r="A4960" s="151" t="s">
        <v>6928</v>
      </c>
    </row>
    <row r="4961" spans="1:1">
      <c r="A4961" s="151" t="s">
        <v>6929</v>
      </c>
    </row>
    <row r="4962" spans="1:1">
      <c r="A4962" s="151" t="s">
        <v>6930</v>
      </c>
    </row>
    <row r="4963" spans="1:1">
      <c r="A4963" s="151" t="s">
        <v>6931</v>
      </c>
    </row>
    <row r="4964" spans="1:1">
      <c r="A4964" s="151" t="s">
        <v>6932</v>
      </c>
    </row>
    <row r="4965" spans="1:1">
      <c r="A4965" s="151" t="s">
        <v>6933</v>
      </c>
    </row>
    <row r="4966" spans="1:1">
      <c r="A4966" s="151" t="s">
        <v>6934</v>
      </c>
    </row>
    <row r="4967" spans="1:1">
      <c r="A4967" s="151" t="s">
        <v>6935</v>
      </c>
    </row>
    <row r="4968" spans="1:1">
      <c r="A4968" s="151" t="s">
        <v>6936</v>
      </c>
    </row>
    <row r="4969" spans="1:1">
      <c r="A4969" s="151" t="s">
        <v>6937</v>
      </c>
    </row>
    <row r="4970" spans="1:1">
      <c r="A4970" s="151" t="s">
        <v>6938</v>
      </c>
    </row>
    <row r="4971" spans="1:1">
      <c r="A4971" s="151" t="s">
        <v>6939</v>
      </c>
    </row>
    <row r="4972" spans="1:1">
      <c r="A4972" s="151" t="s">
        <v>6940</v>
      </c>
    </row>
    <row r="4973" spans="1:1">
      <c r="A4973" s="151" t="s">
        <v>6941</v>
      </c>
    </row>
    <row r="4974" spans="1:1">
      <c r="A4974" s="151" t="s">
        <v>6942</v>
      </c>
    </row>
    <row r="4975" spans="1:1">
      <c r="A4975" s="151" t="s">
        <v>6943</v>
      </c>
    </row>
    <row r="4976" spans="1:1">
      <c r="A4976" s="151" t="s">
        <v>6944</v>
      </c>
    </row>
    <row r="4977" spans="1:1">
      <c r="A4977" s="151" t="s">
        <v>6945</v>
      </c>
    </row>
    <row r="4978" spans="1:1">
      <c r="A4978" s="151" t="s">
        <v>6946</v>
      </c>
    </row>
    <row r="4979" spans="1:1">
      <c r="A4979" s="151" t="s">
        <v>6947</v>
      </c>
    </row>
    <row r="4980" spans="1:1">
      <c r="A4980" s="151" t="s">
        <v>6948</v>
      </c>
    </row>
    <row r="4981" spans="1:1">
      <c r="A4981" s="151" t="s">
        <v>6949</v>
      </c>
    </row>
    <row r="4982" spans="1:1">
      <c r="A4982" s="151" t="s">
        <v>6950</v>
      </c>
    </row>
    <row r="4983" spans="1:1">
      <c r="A4983" s="151" t="s">
        <v>6951</v>
      </c>
    </row>
    <row r="4984" spans="1:1">
      <c r="A4984" s="151" t="s">
        <v>6952</v>
      </c>
    </row>
    <row r="4985" spans="1:1">
      <c r="A4985" s="151" t="s">
        <v>6953</v>
      </c>
    </row>
    <row r="4986" spans="1:1">
      <c r="A4986" s="151" t="s">
        <v>6954</v>
      </c>
    </row>
    <row r="4987" spans="1:1">
      <c r="A4987" s="151" t="s">
        <v>6955</v>
      </c>
    </row>
    <row r="4988" spans="1:1">
      <c r="A4988" s="151" t="s">
        <v>6956</v>
      </c>
    </row>
    <row r="4989" spans="1:1">
      <c r="A4989" s="151" t="s">
        <v>6957</v>
      </c>
    </row>
    <row r="4990" spans="1:1">
      <c r="A4990" s="151" t="s">
        <v>6958</v>
      </c>
    </row>
    <row r="4991" spans="1:1">
      <c r="A4991" s="151" t="s">
        <v>6959</v>
      </c>
    </row>
    <row r="4992" spans="1:1">
      <c r="A4992" s="151" t="s">
        <v>6960</v>
      </c>
    </row>
    <row r="4993" spans="1:1">
      <c r="A4993" s="151" t="s">
        <v>6961</v>
      </c>
    </row>
    <row r="4994" spans="1:1">
      <c r="A4994" s="151" t="s">
        <v>6962</v>
      </c>
    </row>
    <row r="4995" spans="1:1">
      <c r="A4995" s="151" t="s">
        <v>6963</v>
      </c>
    </row>
    <row r="4996" spans="1:1">
      <c r="A4996" s="151" t="s">
        <v>6964</v>
      </c>
    </row>
    <row r="4997" spans="1:1">
      <c r="A4997" s="151" t="s">
        <v>6965</v>
      </c>
    </row>
    <row r="4998" spans="1:1">
      <c r="A4998" s="151" t="s">
        <v>6966</v>
      </c>
    </row>
    <row r="4999" spans="1:1">
      <c r="A4999" s="151" t="s">
        <v>6967</v>
      </c>
    </row>
    <row r="5000" spans="1:1">
      <c r="A5000" s="151" t="s">
        <v>6968</v>
      </c>
    </row>
    <row r="5001" spans="1:1">
      <c r="A5001" s="151" t="s">
        <v>6969</v>
      </c>
    </row>
    <row r="5002" spans="1:1">
      <c r="A5002" s="151" t="s">
        <v>6970</v>
      </c>
    </row>
    <row r="5003" spans="1:1">
      <c r="A5003" s="151" t="s">
        <v>6971</v>
      </c>
    </row>
    <row r="5004" spans="1:1">
      <c r="A5004" s="151" t="s">
        <v>6972</v>
      </c>
    </row>
    <row r="5005" spans="1:1">
      <c r="A5005" s="151" t="s">
        <v>6973</v>
      </c>
    </row>
    <row r="5006" spans="1:1">
      <c r="A5006" s="151" t="s">
        <v>6974</v>
      </c>
    </row>
    <row r="5007" spans="1:1">
      <c r="A5007" s="151" t="s">
        <v>6975</v>
      </c>
    </row>
    <row r="5008" spans="1:1">
      <c r="A5008" s="151" t="s">
        <v>6976</v>
      </c>
    </row>
    <row r="5009" spans="1:1">
      <c r="A5009" s="151" t="s">
        <v>6977</v>
      </c>
    </row>
    <row r="5010" spans="1:1">
      <c r="A5010" s="151" t="s">
        <v>6978</v>
      </c>
    </row>
    <row r="5011" spans="1:1">
      <c r="A5011" s="151" t="s">
        <v>6979</v>
      </c>
    </row>
    <row r="5012" spans="1:1">
      <c r="A5012" s="151" t="s">
        <v>6980</v>
      </c>
    </row>
    <row r="5013" spans="1:1">
      <c r="A5013" s="151" t="s">
        <v>6981</v>
      </c>
    </row>
    <row r="5014" spans="1:1">
      <c r="A5014" s="151" t="s">
        <v>6982</v>
      </c>
    </row>
    <row r="5015" spans="1:1">
      <c r="A5015" s="151" t="s">
        <v>6983</v>
      </c>
    </row>
    <row r="5016" spans="1:1">
      <c r="A5016" s="151" t="s">
        <v>6984</v>
      </c>
    </row>
    <row r="5017" spans="1:1">
      <c r="A5017" s="151" t="s">
        <v>6985</v>
      </c>
    </row>
    <row r="5018" spans="1:1">
      <c r="A5018" s="151" t="s">
        <v>6986</v>
      </c>
    </row>
    <row r="5019" spans="1:1">
      <c r="A5019" s="151" t="s">
        <v>6987</v>
      </c>
    </row>
    <row r="5020" spans="1:1">
      <c r="A5020" s="151" t="s">
        <v>6988</v>
      </c>
    </row>
    <row r="5021" spans="1:1">
      <c r="A5021" s="151" t="s">
        <v>6989</v>
      </c>
    </row>
    <row r="5022" spans="1:1">
      <c r="A5022" s="151" t="s">
        <v>6990</v>
      </c>
    </row>
    <row r="5023" spans="1:1">
      <c r="A5023" s="151" t="s">
        <v>6991</v>
      </c>
    </row>
    <row r="5024" spans="1:1">
      <c r="A5024" s="151" t="s">
        <v>6992</v>
      </c>
    </row>
    <row r="5025" spans="1:1">
      <c r="A5025" s="151" t="s">
        <v>6993</v>
      </c>
    </row>
    <row r="5026" spans="1:1">
      <c r="A5026" s="151" t="s">
        <v>6994</v>
      </c>
    </row>
    <row r="5027" spans="1:1">
      <c r="A5027" s="151" t="s">
        <v>6995</v>
      </c>
    </row>
    <row r="5028" spans="1:1">
      <c r="A5028" s="151" t="s">
        <v>6996</v>
      </c>
    </row>
    <row r="5029" spans="1:1">
      <c r="A5029" s="151" t="s">
        <v>6997</v>
      </c>
    </row>
    <row r="5030" spans="1:1">
      <c r="A5030" s="151" t="s">
        <v>6998</v>
      </c>
    </row>
    <row r="5031" spans="1:1">
      <c r="A5031" s="151" t="s">
        <v>6999</v>
      </c>
    </row>
    <row r="5032" spans="1:1">
      <c r="A5032" s="151" t="s">
        <v>7000</v>
      </c>
    </row>
    <row r="5033" spans="1:1">
      <c r="A5033" s="151" t="s">
        <v>7001</v>
      </c>
    </row>
    <row r="5034" spans="1:1">
      <c r="A5034" s="151" t="s">
        <v>7002</v>
      </c>
    </row>
    <row r="5035" spans="1:1">
      <c r="A5035" s="151" t="s">
        <v>7003</v>
      </c>
    </row>
    <row r="5036" spans="1:1">
      <c r="A5036" s="151" t="s">
        <v>7004</v>
      </c>
    </row>
    <row r="5037" spans="1:1">
      <c r="A5037" s="151" t="s">
        <v>7005</v>
      </c>
    </row>
    <row r="5038" spans="1:1">
      <c r="A5038" s="151" t="s">
        <v>7006</v>
      </c>
    </row>
    <row r="5039" spans="1:1">
      <c r="A5039" s="151" t="s">
        <v>7007</v>
      </c>
    </row>
    <row r="5040" spans="1:1">
      <c r="A5040" s="151" t="s">
        <v>7008</v>
      </c>
    </row>
    <row r="5041" spans="1:1">
      <c r="A5041" s="151" t="s">
        <v>7009</v>
      </c>
    </row>
    <row r="5042" spans="1:1">
      <c r="A5042" s="151" t="s">
        <v>7010</v>
      </c>
    </row>
    <row r="5043" spans="1:1">
      <c r="A5043" s="151" t="s">
        <v>7011</v>
      </c>
    </row>
    <row r="5044" spans="1:1">
      <c r="A5044" s="151" t="s">
        <v>7012</v>
      </c>
    </row>
    <row r="5045" spans="1:1">
      <c r="A5045" s="151" t="s">
        <v>7013</v>
      </c>
    </row>
    <row r="5046" spans="1:1">
      <c r="A5046" s="151" t="s">
        <v>7014</v>
      </c>
    </row>
    <row r="5047" spans="1:1">
      <c r="A5047" s="151" t="s">
        <v>7015</v>
      </c>
    </row>
    <row r="5048" spans="1:1">
      <c r="A5048" s="151" t="s">
        <v>7016</v>
      </c>
    </row>
    <row r="5049" spans="1:1">
      <c r="A5049" s="151" t="s">
        <v>7017</v>
      </c>
    </row>
    <row r="5050" spans="1:1">
      <c r="A5050" s="151" t="s">
        <v>7018</v>
      </c>
    </row>
    <row r="5051" spans="1:1">
      <c r="A5051" s="151" t="s">
        <v>7019</v>
      </c>
    </row>
    <row r="5052" spans="1:1">
      <c r="A5052" s="151" t="s">
        <v>7020</v>
      </c>
    </row>
    <row r="5053" spans="1:1">
      <c r="A5053" s="151" t="s">
        <v>7021</v>
      </c>
    </row>
    <row r="5054" spans="1:1">
      <c r="A5054" s="151" t="s">
        <v>7022</v>
      </c>
    </row>
    <row r="5055" spans="1:1">
      <c r="A5055" s="151" t="s">
        <v>7023</v>
      </c>
    </row>
    <row r="5056" spans="1:1">
      <c r="A5056" s="151" t="s">
        <v>7024</v>
      </c>
    </row>
    <row r="5057" spans="1:1">
      <c r="A5057" s="151" t="s">
        <v>7025</v>
      </c>
    </row>
    <row r="5058" spans="1:1">
      <c r="A5058" s="151" t="s">
        <v>7026</v>
      </c>
    </row>
    <row r="5059" spans="1:1">
      <c r="A5059" s="151" t="s">
        <v>7027</v>
      </c>
    </row>
    <row r="5060" spans="1:1">
      <c r="A5060" s="151" t="s">
        <v>7028</v>
      </c>
    </row>
    <row r="5061" spans="1:1">
      <c r="A5061" s="151" t="s">
        <v>7029</v>
      </c>
    </row>
    <row r="5062" spans="1:1">
      <c r="A5062" s="151" t="s">
        <v>7030</v>
      </c>
    </row>
    <row r="5063" spans="1:1">
      <c r="A5063" s="151" t="s">
        <v>7031</v>
      </c>
    </row>
    <row r="5064" spans="1:1">
      <c r="A5064" s="151" t="s">
        <v>7032</v>
      </c>
    </row>
    <row r="5065" spans="1:1">
      <c r="A5065" s="151" t="s">
        <v>7033</v>
      </c>
    </row>
    <row r="5066" spans="1:1">
      <c r="A5066" s="151" t="s">
        <v>7034</v>
      </c>
    </row>
    <row r="5067" spans="1:1">
      <c r="A5067" s="151" t="s">
        <v>7035</v>
      </c>
    </row>
    <row r="5068" spans="1:1">
      <c r="A5068" s="151" t="s">
        <v>7036</v>
      </c>
    </row>
    <row r="5069" spans="1:1">
      <c r="A5069" s="151" t="s">
        <v>7037</v>
      </c>
    </row>
    <row r="5070" spans="1:1">
      <c r="A5070" s="151" t="s">
        <v>7038</v>
      </c>
    </row>
    <row r="5071" spans="1:1">
      <c r="A5071" s="151" t="s">
        <v>7039</v>
      </c>
    </row>
    <row r="5072" spans="1:1">
      <c r="A5072" s="151" t="s">
        <v>7040</v>
      </c>
    </row>
    <row r="5073" spans="1:1">
      <c r="A5073" s="151" t="s">
        <v>7041</v>
      </c>
    </row>
    <row r="5074" spans="1:1">
      <c r="A5074" s="151" t="s">
        <v>7042</v>
      </c>
    </row>
    <row r="5075" spans="1:1">
      <c r="A5075" s="151" t="s">
        <v>7043</v>
      </c>
    </row>
    <row r="5076" spans="1:1">
      <c r="A5076" s="151" t="s">
        <v>7044</v>
      </c>
    </row>
    <row r="5077" spans="1:1">
      <c r="A5077" s="151" t="s">
        <v>7045</v>
      </c>
    </row>
    <row r="5078" spans="1:1">
      <c r="A5078" s="151" t="s">
        <v>7046</v>
      </c>
    </row>
    <row r="5079" spans="1:1">
      <c r="A5079" s="151" t="s">
        <v>7047</v>
      </c>
    </row>
    <row r="5080" spans="1:1">
      <c r="A5080" s="151" t="s">
        <v>7048</v>
      </c>
    </row>
    <row r="5081" spans="1:1">
      <c r="A5081" s="151" t="s">
        <v>7049</v>
      </c>
    </row>
    <row r="5082" spans="1:1">
      <c r="A5082" s="151" t="s">
        <v>7050</v>
      </c>
    </row>
    <row r="5083" spans="1:1">
      <c r="A5083" s="151" t="s">
        <v>7051</v>
      </c>
    </row>
    <row r="5084" spans="1:1">
      <c r="A5084" s="151" t="s">
        <v>7052</v>
      </c>
    </row>
    <row r="5085" spans="1:1">
      <c r="A5085" s="151" t="s">
        <v>7053</v>
      </c>
    </row>
    <row r="5086" spans="1:1">
      <c r="A5086" s="151" t="s">
        <v>7054</v>
      </c>
    </row>
    <row r="5087" spans="1:1">
      <c r="A5087" s="151" t="s">
        <v>7055</v>
      </c>
    </row>
    <row r="5088" spans="1:1">
      <c r="A5088" s="151" t="s">
        <v>7056</v>
      </c>
    </row>
    <row r="5089" spans="1:1">
      <c r="A5089" s="151" t="s">
        <v>7057</v>
      </c>
    </row>
    <row r="5090" spans="1:1">
      <c r="A5090" s="151" t="s">
        <v>7058</v>
      </c>
    </row>
    <row r="5091" spans="1:1">
      <c r="A5091" s="151" t="s">
        <v>7059</v>
      </c>
    </row>
    <row r="5092" spans="1:1">
      <c r="A5092" s="151" t="s">
        <v>7060</v>
      </c>
    </row>
    <row r="5093" spans="1:1">
      <c r="A5093" s="151" t="s">
        <v>7061</v>
      </c>
    </row>
    <row r="5094" spans="1:1">
      <c r="A5094" s="151" t="s">
        <v>7062</v>
      </c>
    </row>
    <row r="5095" spans="1:1">
      <c r="A5095" s="151" t="s">
        <v>7063</v>
      </c>
    </row>
    <row r="5096" spans="1:1">
      <c r="A5096" s="151" t="s">
        <v>7064</v>
      </c>
    </row>
    <row r="5097" spans="1:1">
      <c r="A5097" s="151" t="s">
        <v>7065</v>
      </c>
    </row>
    <row r="5098" spans="1:1">
      <c r="A5098" s="151" t="s">
        <v>7066</v>
      </c>
    </row>
    <row r="5099" spans="1:1">
      <c r="A5099" s="151" t="s">
        <v>7067</v>
      </c>
    </row>
    <row r="5100" spans="1:1">
      <c r="A5100" s="151" t="s">
        <v>7068</v>
      </c>
    </row>
    <row r="5101" spans="1:1">
      <c r="A5101" s="151" t="s">
        <v>7069</v>
      </c>
    </row>
    <row r="5102" spans="1:1">
      <c r="A5102" s="151" t="s">
        <v>7070</v>
      </c>
    </row>
    <row r="5103" spans="1:1">
      <c r="A5103" s="151" t="s">
        <v>7071</v>
      </c>
    </row>
    <row r="5104" spans="1:1">
      <c r="A5104" s="151" t="s">
        <v>7072</v>
      </c>
    </row>
    <row r="5105" spans="1:1">
      <c r="A5105" s="151" t="s">
        <v>7073</v>
      </c>
    </row>
    <row r="5106" spans="1:1">
      <c r="A5106" s="151" t="s">
        <v>7074</v>
      </c>
    </row>
    <row r="5107" spans="1:1">
      <c r="A5107" s="151" t="s">
        <v>7075</v>
      </c>
    </row>
    <row r="5108" spans="1:1">
      <c r="A5108" s="151" t="s">
        <v>7076</v>
      </c>
    </row>
    <row r="5109" spans="1:1">
      <c r="A5109" s="151" t="s">
        <v>7077</v>
      </c>
    </row>
    <row r="5110" spans="1:1">
      <c r="A5110" s="151" t="s">
        <v>7078</v>
      </c>
    </row>
    <row r="5111" spans="1:1">
      <c r="A5111" s="151" t="s">
        <v>7079</v>
      </c>
    </row>
    <row r="5112" spans="1:1">
      <c r="A5112" s="151" t="s">
        <v>7080</v>
      </c>
    </row>
    <row r="5113" spans="1:1">
      <c r="A5113" s="151" t="s">
        <v>7081</v>
      </c>
    </row>
    <row r="5114" spans="1:1">
      <c r="A5114" s="151" t="s">
        <v>7082</v>
      </c>
    </row>
    <row r="5115" spans="1:1">
      <c r="A5115" s="151" t="s">
        <v>7083</v>
      </c>
    </row>
    <row r="5116" spans="1:1">
      <c r="A5116" s="151" t="s">
        <v>7084</v>
      </c>
    </row>
    <row r="5117" spans="1:1">
      <c r="A5117" s="151" t="s">
        <v>7085</v>
      </c>
    </row>
    <row r="5118" spans="1:1">
      <c r="A5118" s="151" t="s">
        <v>7086</v>
      </c>
    </row>
    <row r="5119" spans="1:1">
      <c r="A5119" s="151" t="s">
        <v>7087</v>
      </c>
    </row>
    <row r="5120" spans="1:1">
      <c r="A5120" s="151" t="s">
        <v>7088</v>
      </c>
    </row>
    <row r="5121" spans="1:1">
      <c r="A5121" s="151" t="s">
        <v>7089</v>
      </c>
    </row>
    <row r="5122" spans="1:1">
      <c r="A5122" s="151" t="s">
        <v>7090</v>
      </c>
    </row>
    <row r="5123" spans="1:1">
      <c r="A5123" s="151" t="s">
        <v>7091</v>
      </c>
    </row>
    <row r="5124" spans="1:1">
      <c r="A5124" s="151" t="s">
        <v>7092</v>
      </c>
    </row>
    <row r="5125" spans="1:1">
      <c r="A5125" s="151" t="s">
        <v>7093</v>
      </c>
    </row>
    <row r="5126" spans="1:1">
      <c r="A5126" s="151" t="s">
        <v>7094</v>
      </c>
    </row>
    <row r="5127" spans="1:1">
      <c r="A5127" s="151" t="s">
        <v>7095</v>
      </c>
    </row>
    <row r="5128" spans="1:1">
      <c r="A5128" s="151" t="s">
        <v>7096</v>
      </c>
    </row>
    <row r="5129" spans="1:1">
      <c r="A5129" s="151" t="s">
        <v>7097</v>
      </c>
    </row>
    <row r="5130" spans="1:1">
      <c r="A5130" s="151" t="s">
        <v>7098</v>
      </c>
    </row>
    <row r="5131" spans="1:1">
      <c r="A5131" s="151" t="s">
        <v>7099</v>
      </c>
    </row>
    <row r="5132" spans="1:1">
      <c r="A5132" s="151" t="s">
        <v>7100</v>
      </c>
    </row>
    <row r="5133" spans="1:1">
      <c r="A5133" s="151" t="s">
        <v>7101</v>
      </c>
    </row>
    <row r="5134" spans="1:1">
      <c r="A5134" s="151" t="s">
        <v>7102</v>
      </c>
    </row>
    <row r="5135" spans="1:1">
      <c r="A5135" s="151" t="s">
        <v>7103</v>
      </c>
    </row>
    <row r="5136" spans="1:1">
      <c r="A5136" s="151" t="s">
        <v>7104</v>
      </c>
    </row>
    <row r="5137" spans="1:1">
      <c r="A5137" s="151" t="s">
        <v>7105</v>
      </c>
    </row>
    <row r="5138" spans="1:1">
      <c r="A5138" s="151" t="s">
        <v>7106</v>
      </c>
    </row>
    <row r="5139" spans="1:1">
      <c r="A5139" s="151" t="s">
        <v>7107</v>
      </c>
    </row>
    <row r="5140" spans="1:1">
      <c r="A5140" s="151" t="s">
        <v>7108</v>
      </c>
    </row>
    <row r="5141" spans="1:1">
      <c r="A5141" s="151" t="s">
        <v>7109</v>
      </c>
    </row>
    <row r="5142" spans="1:1">
      <c r="A5142" s="151" t="s">
        <v>7110</v>
      </c>
    </row>
    <row r="5143" spans="1:1">
      <c r="A5143" s="151" t="s">
        <v>7111</v>
      </c>
    </row>
    <row r="5144" spans="1:1">
      <c r="A5144" s="151" t="s">
        <v>7112</v>
      </c>
    </row>
    <row r="5145" spans="1:1">
      <c r="A5145" s="151" t="s">
        <v>7113</v>
      </c>
    </row>
    <row r="5146" spans="1:1">
      <c r="A5146" s="151" t="s">
        <v>7114</v>
      </c>
    </row>
    <row r="5147" spans="1:1">
      <c r="A5147" s="151" t="s">
        <v>7115</v>
      </c>
    </row>
    <row r="5148" spans="1:1">
      <c r="A5148" s="151" t="s">
        <v>7116</v>
      </c>
    </row>
    <row r="5149" spans="1:1">
      <c r="A5149" s="151" t="s">
        <v>7117</v>
      </c>
    </row>
    <row r="5150" spans="1:1">
      <c r="A5150" s="151" t="s">
        <v>7118</v>
      </c>
    </row>
    <row r="5151" spans="1:1">
      <c r="A5151" s="151" t="s">
        <v>7119</v>
      </c>
    </row>
    <row r="5152" spans="1:1">
      <c r="A5152" s="151" t="s">
        <v>7120</v>
      </c>
    </row>
    <row r="5153" spans="1:1">
      <c r="A5153" s="151" t="s">
        <v>7121</v>
      </c>
    </row>
    <row r="5154" spans="1:1">
      <c r="A5154" s="151" t="s">
        <v>7122</v>
      </c>
    </row>
    <row r="5155" spans="1:1">
      <c r="A5155" s="151" t="s">
        <v>7123</v>
      </c>
    </row>
    <row r="5156" spans="1:1">
      <c r="A5156" s="151" t="s">
        <v>7124</v>
      </c>
    </row>
    <row r="5157" spans="1:1">
      <c r="A5157" s="151" t="s">
        <v>7125</v>
      </c>
    </row>
    <row r="5158" spans="1:1">
      <c r="A5158" s="151" t="s">
        <v>7126</v>
      </c>
    </row>
    <row r="5159" spans="1:1">
      <c r="A5159" s="151" t="s">
        <v>7127</v>
      </c>
    </row>
    <row r="5160" spans="1:1">
      <c r="A5160" s="151" t="s">
        <v>7128</v>
      </c>
    </row>
    <row r="5161" spans="1:1">
      <c r="A5161" s="151" t="s">
        <v>7129</v>
      </c>
    </row>
    <row r="5162" spans="1:1">
      <c r="A5162" s="151" t="s">
        <v>7130</v>
      </c>
    </row>
    <row r="5163" spans="1:1">
      <c r="A5163" s="151" t="s">
        <v>7131</v>
      </c>
    </row>
    <row r="5164" spans="1:1">
      <c r="A5164" s="151" t="s">
        <v>7132</v>
      </c>
    </row>
    <row r="5165" spans="1:1">
      <c r="A5165" s="151" t="s">
        <v>7133</v>
      </c>
    </row>
    <row r="5166" spans="1:1">
      <c r="A5166" s="151" t="s">
        <v>7134</v>
      </c>
    </row>
    <row r="5167" spans="1:1">
      <c r="A5167" s="151" t="s">
        <v>7135</v>
      </c>
    </row>
    <row r="5168" spans="1:1">
      <c r="A5168" s="151" t="s">
        <v>7136</v>
      </c>
    </row>
    <row r="5169" spans="1:1">
      <c r="A5169" s="151" t="s">
        <v>7137</v>
      </c>
    </row>
    <row r="5170" spans="1:1">
      <c r="A5170" s="151" t="s">
        <v>7138</v>
      </c>
    </row>
    <row r="5171" spans="1:1">
      <c r="A5171" s="151" t="s">
        <v>7139</v>
      </c>
    </row>
    <row r="5172" spans="1:1">
      <c r="A5172" s="151" t="s">
        <v>7140</v>
      </c>
    </row>
    <row r="5173" spans="1:1">
      <c r="A5173" s="151" t="s">
        <v>7141</v>
      </c>
    </row>
    <row r="5174" spans="1:1">
      <c r="A5174" s="151" t="s">
        <v>7142</v>
      </c>
    </row>
    <row r="5175" spans="1:1">
      <c r="A5175" s="151" t="s">
        <v>7143</v>
      </c>
    </row>
    <row r="5176" spans="1:1">
      <c r="A5176" s="151" t="s">
        <v>7144</v>
      </c>
    </row>
    <row r="5177" spans="1:1">
      <c r="A5177" s="151" t="s">
        <v>7145</v>
      </c>
    </row>
    <row r="5178" spans="1:1">
      <c r="A5178" s="151" t="s">
        <v>7146</v>
      </c>
    </row>
    <row r="5179" spans="1:1">
      <c r="A5179" s="151" t="s">
        <v>7147</v>
      </c>
    </row>
    <row r="5180" spans="1:1">
      <c r="A5180" s="151" t="s">
        <v>7148</v>
      </c>
    </row>
    <row r="5181" spans="1:1">
      <c r="A5181" s="151" t="s">
        <v>7149</v>
      </c>
    </row>
    <row r="5182" spans="1:1">
      <c r="A5182" s="151" t="s">
        <v>7150</v>
      </c>
    </row>
    <row r="5183" spans="1:1">
      <c r="A5183" s="151" t="s">
        <v>7151</v>
      </c>
    </row>
    <row r="5184" spans="1:1">
      <c r="A5184" s="151" t="s">
        <v>7152</v>
      </c>
    </row>
    <row r="5185" spans="1:1">
      <c r="A5185" s="151" t="s">
        <v>7153</v>
      </c>
    </row>
    <row r="5186" spans="1:1">
      <c r="A5186" s="151" t="s">
        <v>7154</v>
      </c>
    </row>
    <row r="5187" spans="1:1">
      <c r="A5187" s="151" t="s">
        <v>7155</v>
      </c>
    </row>
    <row r="5188" spans="1:1">
      <c r="A5188" s="151" t="s">
        <v>7156</v>
      </c>
    </row>
    <row r="5189" spans="1:1">
      <c r="A5189" s="151" t="s">
        <v>7157</v>
      </c>
    </row>
    <row r="5190" spans="1:1">
      <c r="A5190" s="151" t="s">
        <v>7158</v>
      </c>
    </row>
    <row r="5191" spans="1:1">
      <c r="A5191" s="151" t="s">
        <v>7159</v>
      </c>
    </row>
    <row r="5192" spans="1:1">
      <c r="A5192" s="151" t="s">
        <v>7160</v>
      </c>
    </row>
    <row r="5193" spans="1:1">
      <c r="A5193" s="151" t="s">
        <v>7161</v>
      </c>
    </row>
    <row r="5194" spans="1:1">
      <c r="A5194" s="151" t="s">
        <v>7162</v>
      </c>
    </row>
    <row r="5195" spans="1:1">
      <c r="A5195" s="151" t="s">
        <v>7163</v>
      </c>
    </row>
    <row r="5196" spans="1:1">
      <c r="A5196" s="151" t="s">
        <v>7164</v>
      </c>
    </row>
    <row r="5197" spans="1:1">
      <c r="A5197" s="151" t="s">
        <v>7165</v>
      </c>
    </row>
    <row r="5198" spans="1:1">
      <c r="A5198" s="151" t="s">
        <v>7166</v>
      </c>
    </row>
    <row r="5199" spans="1:1">
      <c r="A5199" s="151" t="s">
        <v>7167</v>
      </c>
    </row>
    <row r="5200" spans="1:1">
      <c r="A5200" s="151" t="s">
        <v>7168</v>
      </c>
    </row>
    <row r="5201" spans="1:1">
      <c r="A5201" s="151" t="s">
        <v>7169</v>
      </c>
    </row>
    <row r="5202" spans="1:1">
      <c r="A5202" s="151" t="s">
        <v>7170</v>
      </c>
    </row>
    <row r="5203" spans="1:1">
      <c r="A5203" s="151" t="s">
        <v>7171</v>
      </c>
    </row>
    <row r="5204" spans="1:1">
      <c r="A5204" s="151" t="s">
        <v>7172</v>
      </c>
    </row>
    <row r="5205" spans="1:1">
      <c r="A5205" s="151" t="s">
        <v>7173</v>
      </c>
    </row>
    <row r="5206" spans="1:1">
      <c r="A5206" s="151" t="s">
        <v>7174</v>
      </c>
    </row>
    <row r="5207" spans="1:1">
      <c r="A5207" s="151" t="s">
        <v>7175</v>
      </c>
    </row>
    <row r="5208" spans="1:1">
      <c r="A5208" s="151" t="s">
        <v>7176</v>
      </c>
    </row>
    <row r="5209" spans="1:1">
      <c r="A5209" s="151" t="s">
        <v>7177</v>
      </c>
    </row>
    <row r="5210" spans="1:1">
      <c r="A5210" s="151" t="s">
        <v>7178</v>
      </c>
    </row>
    <row r="5211" spans="1:1">
      <c r="A5211" s="151" t="s">
        <v>7179</v>
      </c>
    </row>
    <row r="5212" spans="1:1">
      <c r="A5212" s="151" t="s">
        <v>7180</v>
      </c>
    </row>
    <row r="5213" spans="1:1">
      <c r="A5213" s="151" t="s">
        <v>7181</v>
      </c>
    </row>
    <row r="5214" spans="1:1">
      <c r="A5214" s="151" t="s">
        <v>7182</v>
      </c>
    </row>
    <row r="5215" spans="1:1">
      <c r="A5215" s="151" t="s">
        <v>7183</v>
      </c>
    </row>
    <row r="5216" spans="1:1">
      <c r="A5216" s="151" t="s">
        <v>7184</v>
      </c>
    </row>
    <row r="5217" spans="1:1">
      <c r="A5217" s="151" t="s">
        <v>7185</v>
      </c>
    </row>
    <row r="5218" spans="1:1">
      <c r="A5218" s="151" t="s">
        <v>7186</v>
      </c>
    </row>
    <row r="5219" spans="1:1">
      <c r="A5219" s="151" t="s">
        <v>7187</v>
      </c>
    </row>
    <row r="5220" spans="1:1">
      <c r="A5220" s="151" t="s">
        <v>7188</v>
      </c>
    </row>
    <row r="5221" spans="1:1">
      <c r="A5221" s="151" t="s">
        <v>7189</v>
      </c>
    </row>
    <row r="5222" spans="1:1">
      <c r="A5222" s="151" t="s">
        <v>7190</v>
      </c>
    </row>
    <row r="5223" spans="1:1">
      <c r="A5223" s="151" t="s">
        <v>7191</v>
      </c>
    </row>
    <row r="5224" spans="1:1">
      <c r="A5224" s="151" t="s">
        <v>7192</v>
      </c>
    </row>
    <row r="5225" spans="1:1">
      <c r="A5225" s="151" t="s">
        <v>7193</v>
      </c>
    </row>
    <row r="5226" spans="1:1">
      <c r="A5226" s="151" t="s">
        <v>7194</v>
      </c>
    </row>
    <row r="5227" spans="1:1">
      <c r="A5227" s="151" t="s">
        <v>7195</v>
      </c>
    </row>
    <row r="5228" spans="1:1">
      <c r="A5228" s="151" t="s">
        <v>7196</v>
      </c>
    </row>
    <row r="5229" spans="1:1">
      <c r="A5229" s="151" t="s">
        <v>7197</v>
      </c>
    </row>
    <row r="5230" spans="1:1">
      <c r="A5230" s="151" t="s">
        <v>7198</v>
      </c>
    </row>
    <row r="5231" spans="1:1">
      <c r="A5231" s="151" t="s">
        <v>7199</v>
      </c>
    </row>
    <row r="5232" spans="1:1">
      <c r="A5232" s="151" t="s">
        <v>7200</v>
      </c>
    </row>
    <row r="5233" spans="1:1">
      <c r="A5233" s="151" t="s">
        <v>7201</v>
      </c>
    </row>
    <row r="5234" spans="1:1">
      <c r="A5234" s="151" t="s">
        <v>7202</v>
      </c>
    </row>
    <row r="5235" spans="1:1">
      <c r="A5235" s="151" t="s">
        <v>7203</v>
      </c>
    </row>
    <row r="5236" spans="1:1">
      <c r="A5236" s="151" t="s">
        <v>7204</v>
      </c>
    </row>
    <row r="5237" spans="1:1">
      <c r="A5237" s="151" t="s">
        <v>7205</v>
      </c>
    </row>
    <row r="5238" spans="1:1">
      <c r="A5238" s="151" t="s">
        <v>7206</v>
      </c>
    </row>
    <row r="5239" spans="1:1">
      <c r="A5239" s="151" t="s">
        <v>7207</v>
      </c>
    </row>
    <row r="5240" spans="1:1">
      <c r="A5240" s="151" t="s">
        <v>7208</v>
      </c>
    </row>
    <row r="5241" spans="1:1">
      <c r="A5241" s="151" t="s">
        <v>7209</v>
      </c>
    </row>
    <row r="5242" spans="1:1">
      <c r="A5242" s="151" t="s">
        <v>7210</v>
      </c>
    </row>
    <row r="5243" spans="1:1">
      <c r="A5243" s="151" t="s">
        <v>7211</v>
      </c>
    </row>
    <row r="5244" spans="1:1">
      <c r="A5244" s="151" t="s">
        <v>7212</v>
      </c>
    </row>
    <row r="5245" spans="1:1">
      <c r="A5245" s="151" t="s">
        <v>7213</v>
      </c>
    </row>
    <row r="5246" spans="1:1">
      <c r="A5246" s="151" t="s">
        <v>7214</v>
      </c>
    </row>
    <row r="5247" spans="1:1">
      <c r="A5247" s="151" t="s">
        <v>7215</v>
      </c>
    </row>
    <row r="5248" spans="1:1">
      <c r="A5248" s="151" t="s">
        <v>7216</v>
      </c>
    </row>
    <row r="5249" spans="1:1">
      <c r="A5249" s="151" t="s">
        <v>7217</v>
      </c>
    </row>
    <row r="5250" spans="1:1">
      <c r="A5250" s="151" t="s">
        <v>7218</v>
      </c>
    </row>
    <row r="5251" spans="1:1">
      <c r="A5251" s="151" t="s">
        <v>7219</v>
      </c>
    </row>
    <row r="5252" spans="1:1">
      <c r="A5252" s="151" t="s">
        <v>7220</v>
      </c>
    </row>
    <row r="5253" spans="1:1">
      <c r="A5253" s="151" t="s">
        <v>7221</v>
      </c>
    </row>
    <row r="5254" spans="1:1">
      <c r="A5254" s="151" t="s">
        <v>7222</v>
      </c>
    </row>
    <row r="5255" spans="1:1">
      <c r="A5255" s="151" t="s">
        <v>7223</v>
      </c>
    </row>
    <row r="5256" spans="1:1">
      <c r="A5256" s="151" t="s">
        <v>7224</v>
      </c>
    </row>
    <row r="5257" spans="1:1">
      <c r="A5257" s="151" t="s">
        <v>7225</v>
      </c>
    </row>
    <row r="5258" spans="1:1">
      <c r="A5258" s="151" t="s">
        <v>7226</v>
      </c>
    </row>
    <row r="5259" spans="1:1">
      <c r="A5259" s="151" t="s">
        <v>7227</v>
      </c>
    </row>
    <row r="5260" spans="1:1">
      <c r="A5260" s="151" t="s">
        <v>7228</v>
      </c>
    </row>
    <row r="5261" spans="1:1">
      <c r="A5261" s="151" t="s">
        <v>7229</v>
      </c>
    </row>
    <row r="5262" spans="1:1">
      <c r="A5262" s="151" t="s">
        <v>7230</v>
      </c>
    </row>
    <row r="5263" spans="1:1">
      <c r="A5263" s="151" t="s">
        <v>7231</v>
      </c>
    </row>
    <row r="5264" spans="1:1">
      <c r="A5264" s="151" t="s">
        <v>7232</v>
      </c>
    </row>
    <row r="5265" spans="1:1">
      <c r="A5265" s="151" t="s">
        <v>7233</v>
      </c>
    </row>
    <row r="5266" spans="1:1">
      <c r="A5266" s="151" t="s">
        <v>7234</v>
      </c>
    </row>
    <row r="5267" spans="1:1">
      <c r="A5267" s="151" t="s">
        <v>7235</v>
      </c>
    </row>
    <row r="5268" spans="1:1">
      <c r="A5268" s="151" t="s">
        <v>7236</v>
      </c>
    </row>
    <row r="5269" spans="1:1">
      <c r="A5269" s="151" t="s">
        <v>7237</v>
      </c>
    </row>
    <row r="5270" spans="1:1">
      <c r="A5270" s="151" t="s">
        <v>7238</v>
      </c>
    </row>
    <row r="5271" spans="1:1">
      <c r="A5271" s="151" t="s">
        <v>7239</v>
      </c>
    </row>
    <row r="5272" spans="1:1">
      <c r="A5272" s="151" t="s">
        <v>7240</v>
      </c>
    </row>
    <row r="5273" spans="1:1">
      <c r="A5273" s="151" t="s">
        <v>7241</v>
      </c>
    </row>
    <row r="5274" spans="1:1">
      <c r="A5274" s="151" t="s">
        <v>7242</v>
      </c>
    </row>
    <row r="5275" spans="1:1">
      <c r="A5275" s="151" t="s">
        <v>7243</v>
      </c>
    </row>
    <row r="5276" spans="1:1">
      <c r="A5276" s="151" t="s">
        <v>7244</v>
      </c>
    </row>
    <row r="5277" spans="1:1">
      <c r="A5277" s="151" t="s">
        <v>7245</v>
      </c>
    </row>
    <row r="5278" spans="1:1">
      <c r="A5278" s="151" t="s">
        <v>7246</v>
      </c>
    </row>
    <row r="5279" spans="1:1">
      <c r="A5279" s="151" t="s">
        <v>7247</v>
      </c>
    </row>
    <row r="5280" spans="1:1">
      <c r="A5280" s="151" t="s">
        <v>7248</v>
      </c>
    </row>
    <row r="5281" spans="1:1">
      <c r="A5281" s="151" t="s">
        <v>7249</v>
      </c>
    </row>
    <row r="5282" spans="1:1">
      <c r="A5282" s="151" t="s">
        <v>7250</v>
      </c>
    </row>
    <row r="5283" spans="1:1">
      <c r="A5283" s="151" t="s">
        <v>7251</v>
      </c>
    </row>
    <row r="5284" spans="1:1">
      <c r="A5284" s="151" t="s">
        <v>7252</v>
      </c>
    </row>
    <row r="5285" spans="1:1">
      <c r="A5285" s="151" t="s">
        <v>7253</v>
      </c>
    </row>
    <row r="5286" spans="1:1">
      <c r="A5286" s="151" t="s">
        <v>7254</v>
      </c>
    </row>
    <row r="5287" spans="1:1">
      <c r="A5287" s="151" t="s">
        <v>7255</v>
      </c>
    </row>
    <row r="5288" spans="1:1">
      <c r="A5288" s="151" t="s">
        <v>7256</v>
      </c>
    </row>
    <row r="5289" spans="1:1">
      <c r="A5289" s="151" t="s">
        <v>7257</v>
      </c>
    </row>
    <row r="5290" spans="1:1">
      <c r="A5290" s="151" t="s">
        <v>7258</v>
      </c>
    </row>
    <row r="5291" spans="1:1">
      <c r="A5291" s="151" t="s">
        <v>7259</v>
      </c>
    </row>
    <row r="5292" spans="1:1">
      <c r="A5292" s="151" t="s">
        <v>7260</v>
      </c>
    </row>
    <row r="5293" spans="1:1">
      <c r="A5293" s="151" t="s">
        <v>7261</v>
      </c>
    </row>
    <row r="5294" spans="1:1">
      <c r="A5294" s="151" t="s">
        <v>7262</v>
      </c>
    </row>
    <row r="5295" spans="1:1">
      <c r="A5295" s="151" t="s">
        <v>7263</v>
      </c>
    </row>
    <row r="5296" spans="1:1">
      <c r="A5296" s="151" t="s">
        <v>7264</v>
      </c>
    </row>
    <row r="5297" spans="1:1">
      <c r="A5297" s="151" t="s">
        <v>7265</v>
      </c>
    </row>
    <row r="5298" spans="1:1">
      <c r="A5298" s="151" t="s">
        <v>7266</v>
      </c>
    </row>
    <row r="5299" spans="1:1">
      <c r="A5299" s="151" t="s">
        <v>7267</v>
      </c>
    </row>
    <row r="5300" spans="1:1">
      <c r="A5300" s="151" t="s">
        <v>7268</v>
      </c>
    </row>
    <row r="5301" spans="1:1">
      <c r="A5301" s="151" t="s">
        <v>7269</v>
      </c>
    </row>
    <row r="5302" spans="1:1">
      <c r="A5302" s="151" t="s">
        <v>7270</v>
      </c>
    </row>
    <row r="5303" spans="1:1">
      <c r="A5303" s="151" t="s">
        <v>7271</v>
      </c>
    </row>
    <row r="5304" spans="1:1">
      <c r="A5304" s="151" t="s">
        <v>7272</v>
      </c>
    </row>
    <row r="5305" spans="1:1">
      <c r="A5305" s="151" t="s">
        <v>7273</v>
      </c>
    </row>
    <row r="5306" spans="1:1">
      <c r="A5306" s="151" t="s">
        <v>7274</v>
      </c>
    </row>
    <row r="5307" spans="1:1">
      <c r="A5307" s="151" t="s">
        <v>7275</v>
      </c>
    </row>
    <row r="5308" spans="1:1">
      <c r="A5308" s="151" t="s">
        <v>7276</v>
      </c>
    </row>
    <row r="5309" spans="1:1">
      <c r="A5309" s="151" t="s">
        <v>7277</v>
      </c>
    </row>
    <row r="5310" spans="1:1">
      <c r="A5310" s="151" t="s">
        <v>7278</v>
      </c>
    </row>
    <row r="5311" spans="1:1">
      <c r="A5311" s="151" t="s">
        <v>7279</v>
      </c>
    </row>
    <row r="5312" spans="1:1">
      <c r="A5312" s="151" t="s">
        <v>7280</v>
      </c>
    </row>
    <row r="5313" spans="1:1">
      <c r="A5313" s="151" t="s">
        <v>7281</v>
      </c>
    </row>
    <row r="5314" spans="1:1">
      <c r="A5314" s="151" t="s">
        <v>7282</v>
      </c>
    </row>
    <row r="5315" spans="1:1">
      <c r="A5315" s="151" t="s">
        <v>7283</v>
      </c>
    </row>
    <row r="5316" spans="1:1">
      <c r="A5316" s="151" t="s">
        <v>7284</v>
      </c>
    </row>
    <row r="5317" spans="1:1">
      <c r="A5317" s="151" t="s">
        <v>7285</v>
      </c>
    </row>
    <row r="5318" spans="1:1">
      <c r="A5318" s="151" t="s">
        <v>7286</v>
      </c>
    </row>
    <row r="5319" spans="1:1">
      <c r="A5319" s="151" t="s">
        <v>7287</v>
      </c>
    </row>
    <row r="5320" spans="1:1">
      <c r="A5320" s="151" t="s">
        <v>7288</v>
      </c>
    </row>
    <row r="5321" spans="1:1">
      <c r="A5321" s="151" t="s">
        <v>7289</v>
      </c>
    </row>
    <row r="5322" spans="1:1">
      <c r="A5322" s="151" t="s">
        <v>7290</v>
      </c>
    </row>
    <row r="5323" spans="1:1">
      <c r="A5323" s="151" t="s">
        <v>7291</v>
      </c>
    </row>
    <row r="5324" spans="1:1">
      <c r="A5324" s="151" t="s">
        <v>7292</v>
      </c>
    </row>
    <row r="5325" spans="1:1">
      <c r="A5325" s="151" t="s">
        <v>7293</v>
      </c>
    </row>
    <row r="5326" spans="1:1">
      <c r="A5326" s="151" t="s">
        <v>7294</v>
      </c>
    </row>
    <row r="5327" spans="1:1">
      <c r="A5327" s="151" t="s">
        <v>7295</v>
      </c>
    </row>
    <row r="5328" spans="1:1">
      <c r="A5328" s="151" t="s">
        <v>7296</v>
      </c>
    </row>
    <row r="5329" spans="1:1">
      <c r="A5329" s="151" t="s">
        <v>7297</v>
      </c>
    </row>
    <row r="5330" spans="1:1">
      <c r="A5330" s="151" t="s">
        <v>7298</v>
      </c>
    </row>
    <row r="5331" spans="1:1">
      <c r="A5331" s="151" t="s">
        <v>7299</v>
      </c>
    </row>
    <row r="5332" spans="1:1">
      <c r="A5332" s="151" t="s">
        <v>7300</v>
      </c>
    </row>
    <row r="5333" spans="1:1">
      <c r="A5333" s="151" t="s">
        <v>7301</v>
      </c>
    </row>
    <row r="5334" spans="1:1">
      <c r="A5334" s="151" t="s">
        <v>7302</v>
      </c>
    </row>
    <row r="5335" spans="1:1">
      <c r="A5335" s="151" t="s">
        <v>7303</v>
      </c>
    </row>
    <row r="5336" spans="1:1">
      <c r="A5336" s="151" t="s">
        <v>7304</v>
      </c>
    </row>
    <row r="5337" spans="1:1">
      <c r="A5337" s="151" t="s">
        <v>7305</v>
      </c>
    </row>
    <row r="5338" spans="1:1">
      <c r="A5338" s="151" t="s">
        <v>7306</v>
      </c>
    </row>
    <row r="5339" spans="1:1">
      <c r="A5339" s="151" t="s">
        <v>7307</v>
      </c>
    </row>
    <row r="5340" spans="1:1">
      <c r="A5340" s="151" t="s">
        <v>7308</v>
      </c>
    </row>
    <row r="5341" spans="1:1">
      <c r="A5341" s="151" t="s">
        <v>7309</v>
      </c>
    </row>
    <row r="5342" spans="1:1">
      <c r="A5342" s="151" t="s">
        <v>7310</v>
      </c>
    </row>
    <row r="5343" spans="1:1">
      <c r="A5343" s="151" t="s">
        <v>7311</v>
      </c>
    </row>
    <row r="5344" spans="1:1">
      <c r="A5344" s="151" t="s">
        <v>7312</v>
      </c>
    </row>
    <row r="5345" spans="1:1">
      <c r="A5345" s="151" t="s">
        <v>7313</v>
      </c>
    </row>
    <row r="5346" spans="1:1">
      <c r="A5346" s="151" t="s">
        <v>7314</v>
      </c>
    </row>
    <row r="5347" spans="1:1">
      <c r="A5347" s="151" t="s">
        <v>7315</v>
      </c>
    </row>
    <row r="5348" spans="1:1">
      <c r="A5348" s="151" t="s">
        <v>7316</v>
      </c>
    </row>
    <row r="5349" spans="1:1">
      <c r="A5349" s="151" t="s">
        <v>7317</v>
      </c>
    </row>
    <row r="5350" spans="1:1">
      <c r="A5350" s="151" t="s">
        <v>7318</v>
      </c>
    </row>
    <row r="5351" spans="1:1">
      <c r="A5351" s="151" t="s">
        <v>7319</v>
      </c>
    </row>
    <row r="5352" spans="1:1">
      <c r="A5352" s="151" t="s">
        <v>7320</v>
      </c>
    </row>
    <row r="5353" spans="1:1">
      <c r="A5353" s="151" t="s">
        <v>7321</v>
      </c>
    </row>
    <row r="5354" spans="1:1">
      <c r="A5354" s="151" t="s">
        <v>7322</v>
      </c>
    </row>
    <row r="5355" spans="1:1">
      <c r="A5355" s="151" t="s">
        <v>7323</v>
      </c>
    </row>
    <row r="5356" spans="1:1">
      <c r="A5356" s="151" t="s">
        <v>7324</v>
      </c>
    </row>
    <row r="5357" spans="1:1">
      <c r="A5357" s="151" t="s">
        <v>7325</v>
      </c>
    </row>
    <row r="5358" spans="1:1">
      <c r="A5358" s="151" t="s">
        <v>7326</v>
      </c>
    </row>
    <row r="5359" spans="1:1">
      <c r="A5359" s="151" t="s">
        <v>7327</v>
      </c>
    </row>
    <row r="5360" spans="1:1">
      <c r="A5360" s="151" t="s">
        <v>7328</v>
      </c>
    </row>
    <row r="5361" spans="1:1">
      <c r="A5361" s="151" t="s">
        <v>7329</v>
      </c>
    </row>
    <row r="5362" spans="1:1">
      <c r="A5362" s="151" t="s">
        <v>7330</v>
      </c>
    </row>
    <row r="5363" spans="1:1">
      <c r="A5363" s="151" t="s">
        <v>7331</v>
      </c>
    </row>
    <row r="5364" spans="1:1">
      <c r="A5364" s="151" t="s">
        <v>7332</v>
      </c>
    </row>
    <row r="5365" spans="1:1">
      <c r="A5365" s="151" t="s">
        <v>7333</v>
      </c>
    </row>
    <row r="5366" spans="1:1">
      <c r="A5366" s="151" t="s">
        <v>7334</v>
      </c>
    </row>
    <row r="5367" spans="1:1">
      <c r="A5367" s="151" t="s">
        <v>7335</v>
      </c>
    </row>
    <row r="5368" spans="1:1">
      <c r="A5368" s="151" t="s">
        <v>7336</v>
      </c>
    </row>
    <row r="5369" spans="1:1">
      <c r="A5369" s="151" t="s">
        <v>7337</v>
      </c>
    </row>
    <row r="5370" spans="1:1">
      <c r="A5370" s="151" t="s">
        <v>7338</v>
      </c>
    </row>
    <row r="5371" spans="1:1">
      <c r="A5371" s="151" t="s">
        <v>7339</v>
      </c>
    </row>
    <row r="5372" spans="1:1">
      <c r="A5372" s="151" t="s">
        <v>7340</v>
      </c>
    </row>
    <row r="5373" spans="1:1">
      <c r="A5373" s="151" t="s">
        <v>7341</v>
      </c>
    </row>
    <row r="5374" spans="1:1">
      <c r="A5374" s="151" t="s">
        <v>7342</v>
      </c>
    </row>
    <row r="5375" spans="1:1">
      <c r="A5375" s="151" t="s">
        <v>7343</v>
      </c>
    </row>
    <row r="5376" spans="1:1">
      <c r="A5376" s="151" t="s">
        <v>7344</v>
      </c>
    </row>
    <row r="5377" spans="1:1">
      <c r="A5377" s="151" t="s">
        <v>7345</v>
      </c>
    </row>
    <row r="5378" spans="1:1">
      <c r="A5378" s="151" t="s">
        <v>7346</v>
      </c>
    </row>
    <row r="5379" spans="1:1">
      <c r="A5379" s="151" t="s">
        <v>7347</v>
      </c>
    </row>
    <row r="5380" spans="1:1">
      <c r="A5380" s="151" t="s">
        <v>7348</v>
      </c>
    </row>
    <row r="5381" spans="1:1">
      <c r="A5381" s="151" t="s">
        <v>7349</v>
      </c>
    </row>
    <row r="5382" spans="1:1">
      <c r="A5382" s="151" t="s">
        <v>7350</v>
      </c>
    </row>
    <row r="5383" spans="1:1">
      <c r="A5383" s="151" t="s">
        <v>7351</v>
      </c>
    </row>
    <row r="5384" spans="1:1">
      <c r="A5384" s="151" t="s">
        <v>7352</v>
      </c>
    </row>
    <row r="5385" spans="1:1">
      <c r="A5385" s="151" t="s">
        <v>7353</v>
      </c>
    </row>
    <row r="5386" spans="1:1">
      <c r="A5386" s="151" t="s">
        <v>7354</v>
      </c>
    </row>
    <row r="5387" spans="1:1">
      <c r="A5387" s="151" t="s">
        <v>7355</v>
      </c>
    </row>
    <row r="5388" spans="1:1">
      <c r="A5388" s="151" t="s">
        <v>7356</v>
      </c>
    </row>
    <row r="5389" spans="1:1">
      <c r="A5389" s="151" t="s">
        <v>7357</v>
      </c>
    </row>
    <row r="5390" spans="1:1">
      <c r="A5390" s="151" t="s">
        <v>7358</v>
      </c>
    </row>
    <row r="5391" spans="1:1">
      <c r="A5391" s="151" t="s">
        <v>7359</v>
      </c>
    </row>
    <row r="5392" spans="1:1">
      <c r="A5392" s="151" t="s">
        <v>7360</v>
      </c>
    </row>
    <row r="5393" spans="1:1">
      <c r="A5393" s="151" t="s">
        <v>7361</v>
      </c>
    </row>
    <row r="5394" spans="1:1">
      <c r="A5394" s="151" t="s">
        <v>7362</v>
      </c>
    </row>
    <row r="5395" spans="1:1">
      <c r="A5395" s="151" t="s">
        <v>7363</v>
      </c>
    </row>
    <row r="5396" spans="1:1">
      <c r="A5396" s="151" t="s">
        <v>7364</v>
      </c>
    </row>
    <row r="5397" spans="1:1">
      <c r="A5397" s="151" t="s">
        <v>7365</v>
      </c>
    </row>
    <row r="5398" spans="1:1">
      <c r="A5398" s="151" t="s">
        <v>7366</v>
      </c>
    </row>
    <row r="5399" spans="1:1">
      <c r="A5399" s="151" t="s">
        <v>7367</v>
      </c>
    </row>
    <row r="5400" spans="1:1">
      <c r="A5400" s="151" t="s">
        <v>7368</v>
      </c>
    </row>
    <row r="5401" spans="1:1">
      <c r="A5401" s="151" t="s">
        <v>7369</v>
      </c>
    </row>
    <row r="5402" spans="1:1">
      <c r="A5402" s="151" t="s">
        <v>7370</v>
      </c>
    </row>
    <row r="5403" spans="1:1">
      <c r="A5403" s="151" t="s">
        <v>7371</v>
      </c>
    </row>
    <row r="5404" spans="1:1">
      <c r="A5404" s="151" t="s">
        <v>7372</v>
      </c>
    </row>
    <row r="5405" spans="1:1">
      <c r="A5405" s="151" t="s">
        <v>7373</v>
      </c>
    </row>
    <row r="5406" spans="1:1">
      <c r="A5406" s="151" t="s">
        <v>7374</v>
      </c>
    </row>
    <row r="5407" spans="1:1">
      <c r="A5407" s="151" t="s">
        <v>7375</v>
      </c>
    </row>
    <row r="5408" spans="1:1">
      <c r="A5408" s="151" t="s">
        <v>7376</v>
      </c>
    </row>
    <row r="5409" spans="1:1">
      <c r="A5409" s="151" t="s">
        <v>7377</v>
      </c>
    </row>
    <row r="5410" spans="1:1">
      <c r="A5410" s="151" t="s">
        <v>7378</v>
      </c>
    </row>
    <row r="5411" spans="1:1">
      <c r="A5411" s="151" t="s">
        <v>7379</v>
      </c>
    </row>
    <row r="5412" spans="1:1">
      <c r="A5412" s="151" t="s">
        <v>7380</v>
      </c>
    </row>
    <row r="5413" spans="1:1">
      <c r="A5413" s="151" t="s">
        <v>7381</v>
      </c>
    </row>
    <row r="5414" spans="1:1">
      <c r="A5414" s="151" t="s">
        <v>7382</v>
      </c>
    </row>
    <row r="5415" spans="1:1">
      <c r="A5415" s="151" t="s">
        <v>7383</v>
      </c>
    </row>
    <row r="5416" spans="1:1">
      <c r="A5416" s="151" t="s">
        <v>7384</v>
      </c>
    </row>
    <row r="5417" spans="1:1">
      <c r="A5417" s="151" t="s">
        <v>7385</v>
      </c>
    </row>
    <row r="5418" spans="1:1">
      <c r="A5418" s="151" t="s">
        <v>7386</v>
      </c>
    </row>
    <row r="5419" spans="1:1">
      <c r="A5419" s="151" t="s">
        <v>7387</v>
      </c>
    </row>
    <row r="5420" spans="1:1">
      <c r="A5420" s="151" t="s">
        <v>7388</v>
      </c>
    </row>
    <row r="5421" spans="1:1">
      <c r="A5421" s="151" t="s">
        <v>7389</v>
      </c>
    </row>
    <row r="5422" spans="1:1">
      <c r="A5422" s="151" t="s">
        <v>7390</v>
      </c>
    </row>
    <row r="5423" spans="1:1">
      <c r="A5423" s="151" t="s">
        <v>7391</v>
      </c>
    </row>
    <row r="5424" spans="1:1">
      <c r="A5424" s="151" t="s">
        <v>7392</v>
      </c>
    </row>
    <row r="5425" spans="1:1">
      <c r="A5425" s="151" t="s">
        <v>7393</v>
      </c>
    </row>
    <row r="5426" spans="1:1">
      <c r="A5426" s="151" t="s">
        <v>7394</v>
      </c>
    </row>
    <row r="5427" spans="1:1">
      <c r="A5427" s="151" t="s">
        <v>7395</v>
      </c>
    </row>
    <row r="5428" spans="1:1">
      <c r="A5428" s="151" t="s">
        <v>7396</v>
      </c>
    </row>
    <row r="5429" spans="1:1">
      <c r="A5429" s="151" t="s">
        <v>7397</v>
      </c>
    </row>
    <row r="5430" spans="1:1">
      <c r="A5430" s="151" t="s">
        <v>7398</v>
      </c>
    </row>
    <row r="5431" spans="1:1">
      <c r="A5431" s="151" t="s">
        <v>7399</v>
      </c>
    </row>
    <row r="5432" spans="1:1">
      <c r="A5432" s="151" t="s">
        <v>7400</v>
      </c>
    </row>
    <row r="5433" spans="1:1">
      <c r="A5433" s="151" t="s">
        <v>7401</v>
      </c>
    </row>
    <row r="5434" spans="1:1">
      <c r="A5434" s="151" t="s">
        <v>7402</v>
      </c>
    </row>
    <row r="5435" spans="1:1">
      <c r="A5435" s="151" t="s">
        <v>7403</v>
      </c>
    </row>
    <row r="5436" spans="1:1">
      <c r="A5436" s="151" t="s">
        <v>7404</v>
      </c>
    </row>
    <row r="5437" spans="1:1">
      <c r="A5437" s="151" t="s">
        <v>7405</v>
      </c>
    </row>
    <row r="5438" spans="1:1">
      <c r="A5438" s="151" t="s">
        <v>7406</v>
      </c>
    </row>
    <row r="5439" spans="1:1">
      <c r="A5439" s="151" t="s">
        <v>7407</v>
      </c>
    </row>
    <row r="5440" spans="1:1">
      <c r="A5440" s="151" t="s">
        <v>7408</v>
      </c>
    </row>
    <row r="5441" spans="1:1">
      <c r="A5441" s="151" t="s">
        <v>7409</v>
      </c>
    </row>
    <row r="5442" spans="1:1">
      <c r="A5442" s="151" t="s">
        <v>7410</v>
      </c>
    </row>
    <row r="5443" spans="1:1">
      <c r="A5443" s="151" t="s">
        <v>7411</v>
      </c>
    </row>
    <row r="5444" spans="1:1">
      <c r="A5444" s="151" t="s">
        <v>7412</v>
      </c>
    </row>
    <row r="5445" spans="1:1">
      <c r="A5445" s="151" t="s">
        <v>7413</v>
      </c>
    </row>
    <row r="5446" spans="1:1">
      <c r="A5446" s="151" t="s">
        <v>7414</v>
      </c>
    </row>
    <row r="5447" spans="1:1">
      <c r="A5447" s="151" t="s">
        <v>7415</v>
      </c>
    </row>
    <row r="5448" spans="1:1">
      <c r="A5448" s="151" t="s">
        <v>7416</v>
      </c>
    </row>
    <row r="5449" spans="1:1">
      <c r="A5449" s="151" t="s">
        <v>7417</v>
      </c>
    </row>
    <row r="5450" spans="1:1">
      <c r="A5450" s="151" t="s">
        <v>7418</v>
      </c>
    </row>
    <row r="5451" spans="1:1">
      <c r="A5451" s="151" t="s">
        <v>7419</v>
      </c>
    </row>
    <row r="5452" spans="1:1">
      <c r="A5452" s="151" t="s">
        <v>7420</v>
      </c>
    </row>
    <row r="5453" spans="1:1">
      <c r="A5453" s="151" t="s">
        <v>7421</v>
      </c>
    </row>
    <row r="5454" spans="1:1">
      <c r="A5454" s="151" t="s">
        <v>7422</v>
      </c>
    </row>
    <row r="5455" spans="1:1">
      <c r="A5455" s="151" t="s">
        <v>7423</v>
      </c>
    </row>
    <row r="5456" spans="1:1">
      <c r="A5456" s="151" t="s">
        <v>7424</v>
      </c>
    </row>
    <row r="5457" spans="1:1">
      <c r="A5457" s="151" t="s">
        <v>7425</v>
      </c>
    </row>
    <row r="5458" spans="1:1">
      <c r="A5458" s="151" t="s">
        <v>7426</v>
      </c>
    </row>
    <row r="5459" spans="1:1">
      <c r="A5459" s="151" t="s">
        <v>7427</v>
      </c>
    </row>
    <row r="5460" spans="1:1">
      <c r="A5460" s="151" t="s">
        <v>7428</v>
      </c>
    </row>
    <row r="5461" spans="1:1">
      <c r="A5461" s="151" t="s">
        <v>7429</v>
      </c>
    </row>
    <row r="5462" spans="1:1">
      <c r="A5462" s="151" t="s">
        <v>7430</v>
      </c>
    </row>
    <row r="5463" spans="1:1">
      <c r="A5463" s="151" t="s">
        <v>7431</v>
      </c>
    </row>
    <row r="5464" spans="1:1">
      <c r="A5464" s="151" t="s">
        <v>7432</v>
      </c>
    </row>
    <row r="5465" spans="1:1">
      <c r="A5465" s="151" t="s">
        <v>7433</v>
      </c>
    </row>
    <row r="5466" spans="1:1">
      <c r="A5466" s="151" t="s">
        <v>7434</v>
      </c>
    </row>
    <row r="5467" spans="1:1">
      <c r="A5467" s="151" t="s">
        <v>7435</v>
      </c>
    </row>
    <row r="5468" spans="1:1">
      <c r="A5468" s="151" t="s">
        <v>7436</v>
      </c>
    </row>
    <row r="5469" spans="1:1">
      <c r="A5469" s="151" t="s">
        <v>7437</v>
      </c>
    </row>
    <row r="5470" spans="1:1">
      <c r="A5470" s="151" t="s">
        <v>7438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"/>
  <sheetViews>
    <sheetView zoomScale="121" zoomScaleNormal="121" workbookViewId="0">
      <selection activeCell="D5" sqref="D5"/>
    </sheetView>
  </sheetViews>
  <sheetFormatPr baseColWidth="10" defaultRowHeight="12.75"/>
  <cols>
    <col min="1" max="1" width="17.7109375" style="208" bestFit="1" customWidth="1"/>
    <col min="2" max="2" width="19.42578125" style="208" customWidth="1"/>
    <col min="3" max="255" width="9.140625" style="208" customWidth="1"/>
    <col min="256" max="16384" width="11.42578125" style="208"/>
  </cols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11"/>
  <sheetViews>
    <sheetView workbookViewId="0">
      <pane ySplit="1" topLeftCell="A2" activePane="bottomLeft" state="frozen"/>
      <selection pane="bottomLeft" activeCell="D19" sqref="D19"/>
    </sheetView>
  </sheetViews>
  <sheetFormatPr baseColWidth="10" defaultRowHeight="15"/>
  <cols>
    <col min="1" max="1" width="28" style="199" bestFit="1" customWidth="1"/>
    <col min="2" max="6" width="11.42578125" style="199"/>
    <col min="7" max="16384" width="11.42578125" style="198"/>
  </cols>
  <sheetData>
    <row r="1" spans="1:6">
      <c r="A1" s="198"/>
      <c r="B1" s="198"/>
      <c r="C1" s="198"/>
    </row>
    <row r="2" spans="1:6">
      <c r="A2" s="240" t="s">
        <v>7965</v>
      </c>
      <c r="B2" s="241"/>
      <c r="C2" s="242" t="s">
        <v>7966</v>
      </c>
      <c r="D2" s="242" t="s">
        <v>7967</v>
      </c>
      <c r="E2" s="242" t="s">
        <v>7968</v>
      </c>
    </row>
    <row r="3" spans="1:6">
      <c r="A3" s="241"/>
      <c r="B3" s="241"/>
      <c r="C3" s="243">
        <v>0.57999999999999996</v>
      </c>
      <c r="D3" s="243">
        <v>0.24</v>
      </c>
      <c r="E3" s="243">
        <v>0.18</v>
      </c>
    </row>
    <row r="6" spans="1:6" ht="15.75" thickBot="1">
      <c r="A6" s="244" t="s">
        <v>7969</v>
      </c>
      <c r="B6" s="245" t="s">
        <v>7970</v>
      </c>
      <c r="E6" s="198"/>
      <c r="F6" s="198"/>
    </row>
    <row r="7" spans="1:6">
      <c r="A7" s="246" t="s">
        <v>7971</v>
      </c>
      <c r="B7" s="247" t="s">
        <v>7973</v>
      </c>
      <c r="E7" s="198"/>
      <c r="F7" s="198"/>
    </row>
    <row r="8" spans="1:6">
      <c r="A8" s="246" t="s">
        <v>7974</v>
      </c>
      <c r="B8" s="247" t="s">
        <v>7972</v>
      </c>
      <c r="E8" s="198"/>
      <c r="F8" s="198"/>
    </row>
    <row r="9" spans="1:6">
      <c r="A9" s="246" t="s">
        <v>7975</v>
      </c>
      <c r="B9" s="247" t="s">
        <v>7976</v>
      </c>
      <c r="E9" s="198"/>
      <c r="F9" s="198"/>
    </row>
    <row r="10" spans="1:6" ht="15.75" thickBot="1">
      <c r="A10" s="244" t="s">
        <v>7977</v>
      </c>
      <c r="B10" s="248" t="s">
        <v>7978</v>
      </c>
      <c r="E10" s="198"/>
      <c r="F10" s="198"/>
    </row>
    <row r="11" spans="1:6">
      <c r="A11" s="249" t="s">
        <v>7979</v>
      </c>
      <c r="B11" s="250"/>
      <c r="C11" s="250"/>
      <c r="D11" s="25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Y54"/>
  <sheetViews>
    <sheetView topLeftCell="K1" zoomScaleNormal="100" workbookViewId="0">
      <selection activeCell="Y27" sqref="Y27"/>
    </sheetView>
  </sheetViews>
  <sheetFormatPr baseColWidth="10" defaultRowHeight="12.75"/>
  <cols>
    <col min="1" max="1" width="11.7109375" style="200" customWidth="1"/>
    <col min="2" max="2" width="10.140625" style="200" bestFit="1" customWidth="1"/>
    <col min="3" max="4" width="3" style="200" bestFit="1" customWidth="1"/>
    <col min="5" max="5" width="8.85546875" style="200" bestFit="1" customWidth="1"/>
    <col min="6" max="6" width="11.140625" style="200" bestFit="1" customWidth="1"/>
    <col min="7" max="7" width="6.28515625" style="200" bestFit="1" customWidth="1"/>
    <col min="8" max="8" width="7.5703125" style="200" bestFit="1" customWidth="1"/>
    <col min="9" max="9" width="8.42578125" style="200" bestFit="1" customWidth="1"/>
    <col min="10" max="10" width="12" style="200" bestFit="1" customWidth="1"/>
    <col min="11" max="11" width="4.140625" style="200" bestFit="1" customWidth="1"/>
    <col min="12" max="12" width="12" style="200" bestFit="1" customWidth="1"/>
    <col min="13" max="13" width="14.28515625" style="200" bestFit="1" customWidth="1"/>
    <col min="14" max="14" width="11.140625" style="200" bestFit="1" customWidth="1"/>
    <col min="15" max="15" width="9.85546875" style="200" bestFit="1" customWidth="1"/>
    <col min="16" max="16" width="14.42578125" style="200" bestFit="1" customWidth="1"/>
    <col min="17" max="17" width="11.28515625" style="200" bestFit="1" customWidth="1"/>
    <col min="18" max="18" width="10.42578125" style="200" bestFit="1" customWidth="1"/>
    <col min="19" max="19" width="13" style="197" bestFit="1" customWidth="1"/>
    <col min="20" max="20" width="11.42578125" style="197"/>
    <col min="21" max="21" width="12.42578125" style="200" customWidth="1"/>
    <col min="22" max="22" width="11.85546875" style="200" customWidth="1"/>
    <col min="23" max="23" width="11.42578125" style="197"/>
    <col min="24" max="24" width="15.85546875" style="197" bestFit="1" customWidth="1"/>
    <col min="25" max="25" width="11.42578125" style="197"/>
  </cols>
  <sheetData>
    <row r="1" spans="1:25" ht="15.75">
      <c r="A1" s="227"/>
      <c r="B1" s="227"/>
      <c r="C1" s="227"/>
      <c r="D1" s="227"/>
      <c r="E1" s="227"/>
      <c r="F1" s="227"/>
      <c r="G1" s="227"/>
      <c r="H1" s="369" t="s">
        <v>7696</v>
      </c>
      <c r="I1" s="367"/>
      <c r="J1" s="368"/>
      <c r="K1" s="367" t="s">
        <v>7695</v>
      </c>
      <c r="L1" s="367"/>
      <c r="M1" s="367"/>
      <c r="N1" s="367"/>
      <c r="O1" s="367"/>
      <c r="P1" s="367"/>
      <c r="Q1" s="367"/>
      <c r="R1" s="368"/>
      <c r="S1" s="370" t="s">
        <v>7715</v>
      </c>
      <c r="T1" s="371"/>
      <c r="U1" s="372" t="s">
        <v>7694</v>
      </c>
      <c r="V1" s="372"/>
      <c r="W1" s="373"/>
      <c r="X1" s="217"/>
      <c r="Y1" s="214"/>
    </row>
    <row r="2" spans="1:25" ht="13.5" thickBot="1">
      <c r="A2" s="228" t="s">
        <v>7693</v>
      </c>
      <c r="B2" s="228" t="s">
        <v>213</v>
      </c>
      <c r="C2" s="228" t="s">
        <v>22</v>
      </c>
      <c r="D2" s="228" t="s">
        <v>21</v>
      </c>
      <c r="E2" s="228" t="s">
        <v>7692</v>
      </c>
      <c r="F2" s="228" t="s">
        <v>7691</v>
      </c>
      <c r="G2" s="237" t="s">
        <v>7690</v>
      </c>
      <c r="H2" s="230" t="s">
        <v>7688</v>
      </c>
      <c r="I2" s="228" t="s">
        <v>7689</v>
      </c>
      <c r="J2" s="229" t="s">
        <v>7711</v>
      </c>
      <c r="K2" s="231" t="s">
        <v>7688</v>
      </c>
      <c r="L2" s="228" t="s">
        <v>7708</v>
      </c>
      <c r="M2" s="228" t="s">
        <v>7687</v>
      </c>
      <c r="N2" s="228" t="s">
        <v>7686</v>
      </c>
      <c r="O2" s="228" t="s">
        <v>7710</v>
      </c>
      <c r="P2" s="228" t="s">
        <v>7685</v>
      </c>
      <c r="Q2" s="228" t="s">
        <v>7684</v>
      </c>
      <c r="R2" s="229" t="s">
        <v>7709</v>
      </c>
      <c r="S2" s="231" t="s">
        <v>7713</v>
      </c>
      <c r="T2" s="228" t="s">
        <v>7714</v>
      </c>
      <c r="U2" s="232" t="s">
        <v>7683</v>
      </c>
      <c r="V2" s="232" t="s">
        <v>7682</v>
      </c>
      <c r="W2" s="233" t="s">
        <v>7716</v>
      </c>
      <c r="X2" s="234" t="s">
        <v>7717</v>
      </c>
      <c r="Y2" s="235" t="s">
        <v>7718</v>
      </c>
    </row>
    <row r="3" spans="1:25">
      <c r="A3" s="316" t="s">
        <v>8017</v>
      </c>
      <c r="B3" s="326">
        <v>41249</v>
      </c>
      <c r="C3" s="316"/>
      <c r="D3" s="316"/>
      <c r="E3" s="316" t="s">
        <v>8020</v>
      </c>
      <c r="F3" s="316" t="s">
        <v>8015</v>
      </c>
      <c r="G3" s="316"/>
      <c r="H3" s="333"/>
      <c r="I3" s="333">
        <v>1626.6</v>
      </c>
      <c r="J3" s="346">
        <v>215.70783021355123</v>
      </c>
      <c r="K3" s="337">
        <v>8</v>
      </c>
      <c r="L3" s="316">
        <f>R3/O3</f>
        <v>7.8236224624307946E-2</v>
      </c>
      <c r="M3" s="342">
        <v>287.7</v>
      </c>
      <c r="N3" s="342">
        <v>15.74</v>
      </c>
      <c r="O3" s="316">
        <f>M3+N3</f>
        <v>303.44</v>
      </c>
      <c r="P3" s="342">
        <v>37.299999999999997</v>
      </c>
      <c r="Q3" s="342">
        <v>2.94</v>
      </c>
      <c r="R3" s="350">
        <f>K3+N3</f>
        <v>23.740000000000002</v>
      </c>
      <c r="S3" s="346">
        <v>2.5594783021355125</v>
      </c>
      <c r="T3" s="316">
        <f>MIN(4.63,4.48*S3^(-0.25))</f>
        <v>3.5419314441638501</v>
      </c>
      <c r="U3" s="316"/>
      <c r="V3" s="316"/>
      <c r="W3" s="316"/>
      <c r="X3" s="354">
        <v>4.2977999999999996</v>
      </c>
      <c r="Y3" s="316">
        <f>X3/T3</f>
        <v>1.2134057555183959</v>
      </c>
    </row>
    <row r="4" spans="1:25">
      <c r="A4" s="317" t="s">
        <v>8017</v>
      </c>
      <c r="B4" s="327">
        <v>41249</v>
      </c>
      <c r="C4" s="317"/>
      <c r="D4" s="316"/>
      <c r="E4" s="317" t="s">
        <v>8021</v>
      </c>
      <c r="F4" s="317" t="s">
        <v>8015</v>
      </c>
      <c r="G4" s="317"/>
      <c r="H4" s="333"/>
      <c r="I4" s="333">
        <v>1216.3</v>
      </c>
      <c r="J4" s="347">
        <v>158.35600965683739</v>
      </c>
      <c r="K4" s="338">
        <v>8</v>
      </c>
      <c r="L4" s="317">
        <f t="shared" ref="L4:L34" si="0">R4/O4</f>
        <v>6.708053112605622E-2</v>
      </c>
      <c r="M4" s="317">
        <v>332.6</v>
      </c>
      <c r="N4" s="317">
        <v>15.34</v>
      </c>
      <c r="O4" s="317">
        <f t="shared" ref="O4:O34" si="1">M4+N4</f>
        <v>347.94</v>
      </c>
      <c r="P4" s="317">
        <v>42.5</v>
      </c>
      <c r="Q4" s="317">
        <v>2.8</v>
      </c>
      <c r="R4" s="351">
        <f t="shared" ref="R4:R34" si="2">K4+N4</f>
        <v>23.34</v>
      </c>
      <c r="S4" s="347">
        <v>2.0365600965683739</v>
      </c>
      <c r="T4" s="317">
        <f t="shared" ref="T4:T34" si="3">MIN(4.63,4.48*S4^(-0.25))</f>
        <v>3.750193756607676</v>
      </c>
      <c r="U4" s="317"/>
      <c r="V4" s="317"/>
      <c r="W4" s="317"/>
      <c r="X4" s="355">
        <v>3.8500999999999999</v>
      </c>
      <c r="Y4" s="317">
        <f t="shared" ref="Y4:Y34" si="4">X4/T4</f>
        <v>1.0266402884427754</v>
      </c>
    </row>
    <row r="5" spans="1:25">
      <c r="A5" s="317" t="s">
        <v>8017</v>
      </c>
      <c r="B5" s="327">
        <v>41249</v>
      </c>
      <c r="C5" s="317"/>
      <c r="D5" s="316"/>
      <c r="E5" s="317" t="s">
        <v>8022</v>
      </c>
      <c r="F5" s="317" t="s">
        <v>8015</v>
      </c>
      <c r="G5" s="317"/>
      <c r="H5" s="333"/>
      <c r="I5" s="333">
        <v>1120.9000000000001</v>
      </c>
      <c r="J5" s="347">
        <v>159.99693948527707</v>
      </c>
      <c r="K5" s="338">
        <v>8</v>
      </c>
      <c r="L5" s="317">
        <f t="shared" si="0"/>
        <v>7.0885062074489372E-2</v>
      </c>
      <c r="M5" s="317">
        <v>448.8</v>
      </c>
      <c r="N5" s="317">
        <v>25.63</v>
      </c>
      <c r="O5" s="317">
        <f t="shared" si="1"/>
        <v>474.43</v>
      </c>
      <c r="P5" s="317">
        <v>62.3</v>
      </c>
      <c r="Q5" s="317">
        <v>5.42</v>
      </c>
      <c r="R5" s="351">
        <f t="shared" si="2"/>
        <v>33.629999999999995</v>
      </c>
      <c r="S5" s="347">
        <v>2.2771693948527703</v>
      </c>
      <c r="T5" s="317">
        <f t="shared" si="3"/>
        <v>3.6469447120925125</v>
      </c>
      <c r="U5" s="317"/>
      <c r="V5" s="317"/>
      <c r="W5" s="317"/>
      <c r="X5" s="355">
        <v>3.4912999999999998</v>
      </c>
      <c r="Y5" s="317">
        <f t="shared" si="4"/>
        <v>0.95732188876446989</v>
      </c>
    </row>
    <row r="6" spans="1:25">
      <c r="A6" s="317" t="s">
        <v>8017</v>
      </c>
      <c r="B6" s="327">
        <v>41249</v>
      </c>
      <c r="C6" s="317"/>
      <c r="D6" s="316"/>
      <c r="E6" s="317" t="s">
        <v>8023</v>
      </c>
      <c r="F6" s="317" t="s">
        <v>8015</v>
      </c>
      <c r="G6" s="317"/>
      <c r="H6" s="333"/>
      <c r="I6" s="333">
        <v>1491.3</v>
      </c>
      <c r="J6" s="347">
        <v>193.09332074387288</v>
      </c>
      <c r="K6" s="338">
        <v>7</v>
      </c>
      <c r="L6" s="317">
        <f t="shared" si="0"/>
        <v>8.4937805328625965E-2</v>
      </c>
      <c r="M6" s="317">
        <v>229.9</v>
      </c>
      <c r="N6" s="317">
        <v>13.69</v>
      </c>
      <c r="O6" s="317">
        <f t="shared" si="1"/>
        <v>243.59</v>
      </c>
      <c r="P6" s="317">
        <v>29</v>
      </c>
      <c r="Q6" s="317">
        <v>2.54</v>
      </c>
      <c r="R6" s="351">
        <f t="shared" si="2"/>
        <v>20.689999999999998</v>
      </c>
      <c r="S6" s="347">
        <v>2.2463332074387288</v>
      </c>
      <c r="T6" s="317">
        <f t="shared" si="3"/>
        <v>3.6593965110041693</v>
      </c>
      <c r="U6" s="317"/>
      <c r="V6" s="317"/>
      <c r="W6" s="317"/>
      <c r="X6" s="355">
        <v>4.1947999999999999</v>
      </c>
      <c r="Y6" s="317">
        <f t="shared" si="4"/>
        <v>1.1463092308761347</v>
      </c>
    </row>
    <row r="7" spans="1:25">
      <c r="A7" s="317" t="s">
        <v>8017</v>
      </c>
      <c r="B7" s="327">
        <v>41249</v>
      </c>
      <c r="C7" s="317"/>
      <c r="D7" s="316"/>
      <c r="E7" s="317" t="s">
        <v>8020</v>
      </c>
      <c r="F7" s="317" t="s">
        <v>8016</v>
      </c>
      <c r="G7" s="317"/>
      <c r="H7" s="333"/>
      <c r="I7" s="333">
        <v>1298</v>
      </c>
      <c r="J7" s="347">
        <v>182.02085435586949</v>
      </c>
      <c r="K7" s="338">
        <v>8</v>
      </c>
      <c r="L7" s="317">
        <f t="shared" si="0"/>
        <v>9.4578479038620294E-2</v>
      </c>
      <c r="M7" s="317">
        <v>304.10000000000002</v>
      </c>
      <c r="N7" s="317">
        <v>22.93</v>
      </c>
      <c r="O7" s="317">
        <f t="shared" si="1"/>
        <v>327.03000000000003</v>
      </c>
      <c r="P7" s="317">
        <v>41</v>
      </c>
      <c r="Q7" s="317">
        <v>4.8600000000000003</v>
      </c>
      <c r="R7" s="351">
        <f t="shared" si="2"/>
        <v>30.93</v>
      </c>
      <c r="S7" s="347">
        <v>2.2788085435586951</v>
      </c>
      <c r="T7" s="317">
        <f t="shared" si="3"/>
        <v>3.6462887225996052</v>
      </c>
      <c r="U7" s="317"/>
      <c r="V7" s="317"/>
      <c r="W7" s="317"/>
      <c r="X7" s="355">
        <v>3.8622000000000001</v>
      </c>
      <c r="Y7" s="317">
        <f t="shared" si="4"/>
        <v>1.0592139827167779</v>
      </c>
    </row>
    <row r="8" spans="1:25">
      <c r="A8" s="317" t="s">
        <v>8017</v>
      </c>
      <c r="B8" s="327">
        <v>41249</v>
      </c>
      <c r="C8" s="317"/>
      <c r="D8" s="316"/>
      <c r="E8" s="317" t="s">
        <v>8021</v>
      </c>
      <c r="F8" s="317" t="s">
        <v>8016</v>
      </c>
      <c r="G8" s="317"/>
      <c r="H8" s="333"/>
      <c r="I8" s="333">
        <v>1572.8</v>
      </c>
      <c r="J8" s="347">
        <v>218.69102103642891</v>
      </c>
      <c r="K8" s="338">
        <v>9</v>
      </c>
      <c r="L8" s="317">
        <f t="shared" si="0"/>
        <v>8.6369078159740029E-2</v>
      </c>
      <c r="M8" s="317">
        <v>276.10000000000002</v>
      </c>
      <c r="N8" s="317">
        <v>16.25</v>
      </c>
      <c r="O8" s="317">
        <f t="shared" si="1"/>
        <v>292.35000000000002</v>
      </c>
      <c r="P8" s="317">
        <v>37</v>
      </c>
      <c r="Q8" s="317">
        <v>3.65</v>
      </c>
      <c r="R8" s="351">
        <f t="shared" si="2"/>
        <v>25.25</v>
      </c>
      <c r="S8" s="347">
        <v>2.5934102103642891</v>
      </c>
      <c r="T8" s="317">
        <f t="shared" si="3"/>
        <v>3.5302885970136675</v>
      </c>
      <c r="U8" s="317"/>
      <c r="V8" s="317"/>
      <c r="W8" s="317"/>
      <c r="X8" s="355">
        <v>3.7292999999999998</v>
      </c>
      <c r="Y8" s="317">
        <f t="shared" si="4"/>
        <v>1.0563725592164559</v>
      </c>
    </row>
    <row r="9" spans="1:25">
      <c r="A9" s="317" t="s">
        <v>8017</v>
      </c>
      <c r="B9" s="327">
        <v>41249</v>
      </c>
      <c r="C9" s="317"/>
      <c r="D9" s="316"/>
      <c r="E9" s="317" t="s">
        <v>8022</v>
      </c>
      <c r="F9" s="317" t="s">
        <v>8016</v>
      </c>
      <c r="G9" s="317"/>
      <c r="H9" s="333"/>
      <c r="I9" s="333">
        <v>1818.5</v>
      </c>
      <c r="J9" s="347">
        <v>242.49931185112044</v>
      </c>
      <c r="K9" s="338">
        <v>8</v>
      </c>
      <c r="L9" s="317">
        <f t="shared" si="0"/>
        <v>8.655716123627441E-2</v>
      </c>
      <c r="M9" s="317">
        <v>313.3</v>
      </c>
      <c r="N9" s="317">
        <v>20.93</v>
      </c>
      <c r="O9" s="317">
        <f t="shared" si="1"/>
        <v>334.23</v>
      </c>
      <c r="P9" s="317">
        <v>40.299999999999997</v>
      </c>
      <c r="Q9" s="317">
        <v>4.2699999999999996</v>
      </c>
      <c r="R9" s="351">
        <f t="shared" si="2"/>
        <v>28.93</v>
      </c>
      <c r="S9" s="347">
        <v>2.8706931185112041</v>
      </c>
      <c r="T9" s="317">
        <f t="shared" si="3"/>
        <v>3.4417658566453184</v>
      </c>
      <c r="U9" s="317"/>
      <c r="V9" s="317"/>
      <c r="W9" s="317"/>
      <c r="X9" s="355">
        <v>4.0044000000000004</v>
      </c>
      <c r="Y9" s="317">
        <f t="shared" si="4"/>
        <v>1.163472521603512</v>
      </c>
    </row>
    <row r="10" spans="1:25">
      <c r="A10" s="317" t="s">
        <v>8017</v>
      </c>
      <c r="B10" s="327">
        <v>41249</v>
      </c>
      <c r="C10" s="317"/>
      <c r="D10" s="316"/>
      <c r="E10" s="317" t="s">
        <v>8023</v>
      </c>
      <c r="F10" s="317" t="s">
        <v>8016</v>
      </c>
      <c r="G10" s="317"/>
      <c r="H10" s="333"/>
      <c r="I10" s="333">
        <v>1434.4</v>
      </c>
      <c r="J10" s="347">
        <v>208.74027153670554</v>
      </c>
      <c r="K10" s="338">
        <v>8</v>
      </c>
      <c r="L10" s="317">
        <f t="shared" si="0"/>
        <v>7.1008049981977642E-2</v>
      </c>
      <c r="M10" s="317">
        <v>394.6</v>
      </c>
      <c r="N10" s="317">
        <v>21.55</v>
      </c>
      <c r="O10" s="317">
        <f t="shared" si="1"/>
        <v>416.15000000000003</v>
      </c>
      <c r="P10" s="317">
        <v>55.5</v>
      </c>
      <c r="Q10" s="317">
        <v>5.0599999999999996</v>
      </c>
      <c r="R10" s="351">
        <f t="shared" si="2"/>
        <v>29.55</v>
      </c>
      <c r="S10" s="347">
        <v>2.6930027153670557</v>
      </c>
      <c r="T10" s="317">
        <f t="shared" si="3"/>
        <v>3.4971866846764303</v>
      </c>
      <c r="U10" s="317"/>
      <c r="V10" s="317"/>
      <c r="W10" s="317"/>
      <c r="X10" s="355">
        <v>3.7568999999999999</v>
      </c>
      <c r="Y10" s="317">
        <f t="shared" si="4"/>
        <v>1.0742634977027539</v>
      </c>
    </row>
    <row r="11" spans="1:25">
      <c r="A11" s="321" t="s">
        <v>8018</v>
      </c>
      <c r="B11" s="328">
        <v>41312</v>
      </c>
      <c r="C11" s="321"/>
      <c r="D11" s="318"/>
      <c r="E11" s="318" t="s">
        <v>8024</v>
      </c>
      <c r="F11" s="318" t="s">
        <v>8015</v>
      </c>
      <c r="G11" s="323"/>
      <c r="H11" s="334"/>
      <c r="I11" s="334">
        <v>1764.6</v>
      </c>
      <c r="J11" s="348">
        <v>261.24714462681942</v>
      </c>
      <c r="K11" s="339">
        <v>9</v>
      </c>
      <c r="L11" s="321">
        <f t="shared" si="0"/>
        <v>0.10385568287395476</v>
      </c>
      <c r="M11" s="343">
        <v>587.73</v>
      </c>
      <c r="N11" s="343">
        <v>58.07</v>
      </c>
      <c r="O11" s="321">
        <f t="shared" si="1"/>
        <v>645.80000000000007</v>
      </c>
      <c r="P11" s="343">
        <v>83.83</v>
      </c>
      <c r="Q11" s="343">
        <v>11.78</v>
      </c>
      <c r="R11" s="352">
        <f t="shared" si="2"/>
        <v>67.069999999999993</v>
      </c>
      <c r="S11" s="348">
        <v>3.5685714462681939</v>
      </c>
      <c r="T11" s="321">
        <f t="shared" si="3"/>
        <v>3.2595257400280886</v>
      </c>
      <c r="U11" s="321"/>
      <c r="V11" s="321"/>
      <c r="W11" s="321"/>
      <c r="X11" s="356">
        <v>3.7473000000000001</v>
      </c>
      <c r="Y11" s="321">
        <f t="shared" si="4"/>
        <v>1.1496457763722732</v>
      </c>
    </row>
    <row r="12" spans="1:25">
      <c r="A12" s="321" t="s">
        <v>8018</v>
      </c>
      <c r="B12" s="328">
        <v>41312</v>
      </c>
      <c r="C12" s="321"/>
      <c r="D12" s="318"/>
      <c r="E12" s="318" t="s">
        <v>8025</v>
      </c>
      <c r="F12" s="318" t="s">
        <v>8015</v>
      </c>
      <c r="G12" s="323"/>
      <c r="H12" s="334"/>
      <c r="I12" s="334">
        <v>1333.1</v>
      </c>
      <c r="J12" s="348">
        <v>195.51361475522236</v>
      </c>
      <c r="K12" s="339">
        <v>9</v>
      </c>
      <c r="L12" s="321">
        <f t="shared" si="0"/>
        <v>0.11032134204872698</v>
      </c>
      <c r="M12" s="343">
        <v>398.27</v>
      </c>
      <c r="N12" s="343">
        <v>39.270000000000003</v>
      </c>
      <c r="O12" s="321">
        <f t="shared" si="1"/>
        <v>437.53999999999996</v>
      </c>
      <c r="P12" s="343">
        <v>57.25</v>
      </c>
      <c r="Q12" s="343">
        <v>6.92</v>
      </c>
      <c r="R12" s="352">
        <f t="shared" si="2"/>
        <v>48.27</v>
      </c>
      <c r="S12" s="348">
        <v>2.5968361475522239</v>
      </c>
      <c r="T12" s="321">
        <f t="shared" si="3"/>
        <v>3.5291236664581835</v>
      </c>
      <c r="U12" s="321"/>
      <c r="V12" s="321"/>
      <c r="W12" s="321"/>
      <c r="X12" s="356">
        <v>3.0710999999999999</v>
      </c>
      <c r="Y12" s="321">
        <f t="shared" si="4"/>
        <v>0.87021603385243385</v>
      </c>
    </row>
    <row r="13" spans="1:25">
      <c r="A13" s="321" t="s">
        <v>8018</v>
      </c>
      <c r="B13" s="328">
        <v>41312</v>
      </c>
      <c r="C13" s="321"/>
      <c r="D13" s="318"/>
      <c r="E13" s="318" t="s">
        <v>8026</v>
      </c>
      <c r="F13" s="318" t="s">
        <v>8015</v>
      </c>
      <c r="G13" s="323"/>
      <c r="H13" s="334"/>
      <c r="I13" s="334">
        <v>1982</v>
      </c>
      <c r="J13" s="348">
        <v>276.58678266508161</v>
      </c>
      <c r="K13" s="339">
        <v>9</v>
      </c>
      <c r="L13" s="321">
        <f t="shared" si="0"/>
        <v>0.12752620771641629</v>
      </c>
      <c r="M13" s="343">
        <v>331.92</v>
      </c>
      <c r="N13" s="343">
        <v>38.200000000000003</v>
      </c>
      <c r="O13" s="321">
        <f t="shared" si="1"/>
        <v>370.12</v>
      </c>
      <c r="P13" s="343">
        <v>45.45</v>
      </c>
      <c r="Q13" s="343">
        <v>6.2</v>
      </c>
      <c r="R13" s="352">
        <f t="shared" si="2"/>
        <v>47.2</v>
      </c>
      <c r="S13" s="348">
        <v>3.2823678266508161</v>
      </c>
      <c r="T13" s="321">
        <f t="shared" si="3"/>
        <v>3.3283669601432924</v>
      </c>
      <c r="U13" s="321"/>
      <c r="V13" s="321"/>
      <c r="W13" s="321"/>
      <c r="X13" s="356">
        <v>4.0919999999999996</v>
      </c>
      <c r="Y13" s="321">
        <f t="shared" si="4"/>
        <v>1.2294317450572911</v>
      </c>
    </row>
    <row r="14" spans="1:25">
      <c r="A14" s="321" t="s">
        <v>8018</v>
      </c>
      <c r="B14" s="328">
        <v>41312</v>
      </c>
      <c r="C14" s="321"/>
      <c r="D14" s="318"/>
      <c r="E14" s="318" t="s">
        <v>8027</v>
      </c>
      <c r="F14" s="318" t="s">
        <v>8015</v>
      </c>
      <c r="G14" s="323"/>
      <c r="H14" s="334"/>
      <c r="I14" s="334">
        <v>1783.7</v>
      </c>
      <c r="J14" s="348">
        <v>238.83968982088246</v>
      </c>
      <c r="K14" s="339">
        <v>8</v>
      </c>
      <c r="L14" s="321">
        <f t="shared" si="0"/>
        <v>0.13582350371341195</v>
      </c>
      <c r="M14" s="343">
        <v>205.81</v>
      </c>
      <c r="N14" s="343">
        <v>23.09</v>
      </c>
      <c r="O14" s="321">
        <f t="shared" si="1"/>
        <v>228.9</v>
      </c>
      <c r="P14" s="343">
        <v>26.83</v>
      </c>
      <c r="Q14" s="343">
        <v>3.82</v>
      </c>
      <c r="R14" s="352">
        <f t="shared" si="2"/>
        <v>31.09</v>
      </c>
      <c r="S14" s="348">
        <v>2.6948968982088246</v>
      </c>
      <c r="T14" s="321">
        <f t="shared" si="3"/>
        <v>3.4965719990308197</v>
      </c>
      <c r="U14" s="321"/>
      <c r="V14" s="321"/>
      <c r="W14" s="321"/>
      <c r="X14" s="356">
        <v>4.6685999999999996</v>
      </c>
      <c r="Y14" s="321">
        <f t="shared" si="4"/>
        <v>1.3351934412601951</v>
      </c>
    </row>
    <row r="15" spans="1:25">
      <c r="A15" s="321" t="s">
        <v>8018</v>
      </c>
      <c r="B15" s="328">
        <v>41312</v>
      </c>
      <c r="C15" s="321"/>
      <c r="D15" s="318"/>
      <c r="E15" s="318" t="s">
        <v>8024</v>
      </c>
      <c r="F15" s="318" t="s">
        <v>8016</v>
      </c>
      <c r="G15" s="323"/>
      <c r="H15" s="334"/>
      <c r="I15" s="334">
        <v>2039.7</v>
      </c>
      <c r="J15" s="348">
        <v>295.52112569702598</v>
      </c>
      <c r="K15" s="339">
        <v>9</v>
      </c>
      <c r="L15" s="321">
        <f t="shared" si="0"/>
        <v>0.15351998141263942</v>
      </c>
      <c r="M15" s="343">
        <v>446.19</v>
      </c>
      <c r="N15" s="343">
        <v>70.290000000000006</v>
      </c>
      <c r="O15" s="321">
        <f t="shared" si="1"/>
        <v>516.48</v>
      </c>
      <c r="P15" s="343">
        <v>61.47</v>
      </c>
      <c r="Q15" s="343">
        <v>13.36</v>
      </c>
      <c r="R15" s="352">
        <f t="shared" si="2"/>
        <v>79.290000000000006</v>
      </c>
      <c r="S15" s="348">
        <v>3.7035112569702595</v>
      </c>
      <c r="T15" s="321">
        <f t="shared" si="3"/>
        <v>3.2294204920857155</v>
      </c>
      <c r="U15" s="321"/>
      <c r="V15" s="321"/>
      <c r="W15" s="321"/>
      <c r="X15" s="356">
        <v>3.9750999999999999</v>
      </c>
      <c r="Y15" s="321">
        <f t="shared" si="4"/>
        <v>1.2309019558591729</v>
      </c>
    </row>
    <row r="16" spans="1:25">
      <c r="A16" s="321" t="s">
        <v>8018</v>
      </c>
      <c r="B16" s="328">
        <v>41312</v>
      </c>
      <c r="C16" s="321"/>
      <c r="D16" s="318"/>
      <c r="E16" s="318" t="s">
        <v>8025</v>
      </c>
      <c r="F16" s="318" t="s">
        <v>8016</v>
      </c>
      <c r="G16" s="323"/>
      <c r="H16" s="334"/>
      <c r="I16" s="334">
        <v>1345.2</v>
      </c>
      <c r="J16" s="348">
        <v>195.84960570636025</v>
      </c>
      <c r="K16" s="339">
        <v>8</v>
      </c>
      <c r="L16" s="321">
        <f t="shared" si="0"/>
        <v>0.15910441846641568</v>
      </c>
      <c r="M16" s="343">
        <v>220.2</v>
      </c>
      <c r="N16" s="343">
        <v>32.15</v>
      </c>
      <c r="O16" s="321">
        <f t="shared" si="1"/>
        <v>252.35</v>
      </c>
      <c r="P16" s="343">
        <v>31.14</v>
      </c>
      <c r="Q16" s="343">
        <v>5.6</v>
      </c>
      <c r="R16" s="352">
        <f t="shared" si="2"/>
        <v>40.15</v>
      </c>
      <c r="S16" s="348">
        <v>2.3258960570636025</v>
      </c>
      <c r="T16" s="321">
        <f t="shared" si="3"/>
        <v>3.6276922598049528</v>
      </c>
      <c r="U16" s="321"/>
      <c r="V16" s="321"/>
      <c r="W16" s="321"/>
      <c r="X16" s="356">
        <v>3.8883000000000001</v>
      </c>
      <c r="Y16" s="321">
        <f t="shared" si="4"/>
        <v>1.0718384365406615</v>
      </c>
    </row>
    <row r="17" spans="1:25">
      <c r="A17" s="321" t="s">
        <v>8018</v>
      </c>
      <c r="B17" s="328">
        <v>41312</v>
      </c>
      <c r="C17" s="321"/>
      <c r="D17" s="318"/>
      <c r="E17" s="318" t="s">
        <v>8026</v>
      </c>
      <c r="F17" s="318" t="s">
        <v>8016</v>
      </c>
      <c r="G17" s="323"/>
      <c r="H17" s="334"/>
      <c r="I17" s="334">
        <v>1823.8</v>
      </c>
      <c r="J17" s="348">
        <v>258.51764531141697</v>
      </c>
      <c r="K17" s="339">
        <v>8</v>
      </c>
      <c r="L17" s="321">
        <f t="shared" si="0"/>
        <v>0.15120308941479355</v>
      </c>
      <c r="M17" s="343">
        <v>350.88</v>
      </c>
      <c r="N17" s="343">
        <v>53.08</v>
      </c>
      <c r="O17" s="321">
        <f t="shared" si="1"/>
        <v>403.96</v>
      </c>
      <c r="P17" s="343">
        <v>48.26</v>
      </c>
      <c r="Q17" s="343">
        <v>9</v>
      </c>
      <c r="R17" s="352">
        <f t="shared" si="2"/>
        <v>61.08</v>
      </c>
      <c r="S17" s="348">
        <v>3.1577764531141694</v>
      </c>
      <c r="T17" s="321">
        <f t="shared" si="3"/>
        <v>3.3607226154253156</v>
      </c>
      <c r="U17" s="321"/>
      <c r="V17" s="321"/>
      <c r="W17" s="321"/>
      <c r="X17" s="356">
        <v>3.7736999999999998</v>
      </c>
      <c r="Y17" s="321">
        <f t="shared" si="4"/>
        <v>1.1228835080524548</v>
      </c>
    </row>
    <row r="18" spans="1:25">
      <c r="A18" s="321" t="s">
        <v>8018</v>
      </c>
      <c r="B18" s="328">
        <v>41312</v>
      </c>
      <c r="C18" s="321"/>
      <c r="D18" s="318"/>
      <c r="E18" s="318" t="s">
        <v>8027</v>
      </c>
      <c r="F18" s="318" t="s">
        <v>8016</v>
      </c>
      <c r="G18" s="323"/>
      <c r="H18" s="334"/>
      <c r="I18" s="334">
        <v>1766.3</v>
      </c>
      <c r="J18" s="348">
        <v>251.11520896273919</v>
      </c>
      <c r="K18" s="339">
        <v>7</v>
      </c>
      <c r="L18" s="321">
        <f t="shared" si="0"/>
        <v>0.1439828801611279</v>
      </c>
      <c r="M18" s="343">
        <v>347.01</v>
      </c>
      <c r="N18" s="343">
        <v>50.19</v>
      </c>
      <c r="O18" s="321">
        <f t="shared" si="1"/>
        <v>397.2</v>
      </c>
      <c r="P18" s="343">
        <v>47</v>
      </c>
      <c r="Q18" s="343">
        <v>9.4700000000000006</v>
      </c>
      <c r="R18" s="352">
        <f t="shared" si="2"/>
        <v>57.19</v>
      </c>
      <c r="S18" s="348">
        <v>3.075852089627392</v>
      </c>
      <c r="T18" s="321">
        <f t="shared" si="3"/>
        <v>3.3828804649255635</v>
      </c>
      <c r="U18" s="321"/>
      <c r="V18" s="321"/>
      <c r="W18" s="321"/>
      <c r="X18" s="356">
        <v>3.9584000000000001</v>
      </c>
      <c r="Y18" s="321">
        <f t="shared" si="4"/>
        <v>1.1701270680538516</v>
      </c>
    </row>
    <row r="19" spans="1:25">
      <c r="A19" s="317" t="s">
        <v>8019</v>
      </c>
      <c r="B19" s="329"/>
      <c r="C19" s="317"/>
      <c r="D19" s="316"/>
      <c r="E19" s="319" t="s">
        <v>8020</v>
      </c>
      <c r="F19" s="319" t="s">
        <v>8015</v>
      </c>
      <c r="G19" s="324"/>
      <c r="H19" s="335"/>
      <c r="I19" s="335">
        <v>2448.8000000000002</v>
      </c>
      <c r="J19" s="347">
        <v>377.18377886888527</v>
      </c>
      <c r="K19" s="338">
        <v>7</v>
      </c>
      <c r="L19" s="317">
        <f t="shared" si="0"/>
        <v>0.49481723949809053</v>
      </c>
      <c r="M19" s="344">
        <v>284.8</v>
      </c>
      <c r="N19" s="344">
        <v>265.10000000000002</v>
      </c>
      <c r="O19" s="317">
        <f t="shared" si="1"/>
        <v>549.90000000000009</v>
      </c>
      <c r="P19" s="344">
        <v>44.1</v>
      </c>
      <c r="Q19" s="344">
        <v>40.6</v>
      </c>
      <c r="R19" s="351">
        <f t="shared" si="2"/>
        <v>272.10000000000002</v>
      </c>
      <c r="S19" s="347">
        <v>4.618837788688853</v>
      </c>
      <c r="T19" s="317">
        <f t="shared" si="3"/>
        <v>3.0559400937683208</v>
      </c>
      <c r="U19" s="317"/>
      <c r="V19" s="317"/>
      <c r="W19" s="317"/>
      <c r="X19" s="355">
        <v>2.5108000000000001</v>
      </c>
      <c r="Y19" s="317">
        <f t="shared" si="4"/>
        <v>0.82161296457349686</v>
      </c>
    </row>
    <row r="20" spans="1:25">
      <c r="A20" s="317" t="s">
        <v>8019</v>
      </c>
      <c r="B20" s="330"/>
      <c r="C20" s="317"/>
      <c r="D20" s="316"/>
      <c r="E20" s="319" t="s">
        <v>8024</v>
      </c>
      <c r="F20" s="319" t="s">
        <v>8015</v>
      </c>
      <c r="G20" s="324"/>
      <c r="H20" s="335"/>
      <c r="I20" s="335">
        <v>3376</v>
      </c>
      <c r="J20" s="347">
        <v>474.62941325882645</v>
      </c>
      <c r="K20" s="338">
        <v>8</v>
      </c>
      <c r="L20" s="317">
        <f t="shared" si="0"/>
        <v>0.45275590551181105</v>
      </c>
      <c r="M20" s="344">
        <v>438.9</v>
      </c>
      <c r="N20" s="344">
        <v>348.5</v>
      </c>
      <c r="O20" s="317">
        <f t="shared" si="1"/>
        <v>787.4</v>
      </c>
      <c r="P20" s="344">
        <v>61.3</v>
      </c>
      <c r="Q20" s="344">
        <v>49.4</v>
      </c>
      <c r="R20" s="351">
        <f t="shared" si="2"/>
        <v>356.5</v>
      </c>
      <c r="S20" s="347">
        <v>5.8532941325882639</v>
      </c>
      <c r="T20" s="317">
        <f t="shared" si="3"/>
        <v>2.8802350224603148</v>
      </c>
      <c r="U20" s="317"/>
      <c r="V20" s="317"/>
      <c r="W20" s="317"/>
      <c r="X20" s="355">
        <v>3.0663999999999998</v>
      </c>
      <c r="Y20" s="317">
        <f t="shared" si="4"/>
        <v>1.0646353426327904</v>
      </c>
    </row>
    <row r="21" spans="1:25">
      <c r="A21" s="317" t="s">
        <v>8019</v>
      </c>
      <c r="B21" s="331"/>
      <c r="C21" s="317"/>
      <c r="D21" s="316"/>
      <c r="E21" s="319" t="s">
        <v>8025</v>
      </c>
      <c r="F21" s="319" t="s">
        <v>8015</v>
      </c>
      <c r="G21" s="324"/>
      <c r="H21" s="335"/>
      <c r="I21" s="335">
        <v>2755.8</v>
      </c>
      <c r="J21" s="347">
        <v>391.91717697127331</v>
      </c>
      <c r="K21" s="340">
        <v>8</v>
      </c>
      <c r="L21" s="317">
        <f t="shared" si="0"/>
        <v>0.34105686251329947</v>
      </c>
      <c r="M21" s="344">
        <v>565.4</v>
      </c>
      <c r="N21" s="344">
        <v>280.5</v>
      </c>
      <c r="O21" s="317">
        <f t="shared" si="1"/>
        <v>845.9</v>
      </c>
      <c r="P21" s="344">
        <v>80.2</v>
      </c>
      <c r="Q21" s="344">
        <v>40.1</v>
      </c>
      <c r="R21" s="351">
        <f t="shared" si="2"/>
        <v>288.5</v>
      </c>
      <c r="S21" s="347">
        <v>5.1221717697127325</v>
      </c>
      <c r="T21" s="317">
        <f t="shared" si="3"/>
        <v>2.9779299625616922</v>
      </c>
      <c r="U21" s="317"/>
      <c r="V21" s="317"/>
      <c r="W21" s="317"/>
      <c r="X21" s="355">
        <v>3.3290000000000002</v>
      </c>
      <c r="Y21" s="317">
        <f t="shared" si="4"/>
        <v>1.1178906293472088</v>
      </c>
    </row>
    <row r="22" spans="1:25">
      <c r="A22" s="317" t="s">
        <v>8019</v>
      </c>
      <c r="B22" s="329"/>
      <c r="C22" s="317"/>
      <c r="D22" s="316"/>
      <c r="E22" s="319" t="s">
        <v>8021</v>
      </c>
      <c r="F22" s="319" t="s">
        <v>8015</v>
      </c>
      <c r="G22" s="324"/>
      <c r="H22" s="335"/>
      <c r="I22" s="335">
        <v>2933.2</v>
      </c>
      <c r="J22" s="347">
        <v>442.27874608150466</v>
      </c>
      <c r="K22" s="338">
        <v>8</v>
      </c>
      <c r="L22" s="317">
        <f t="shared" si="0"/>
        <v>0.44629049111807734</v>
      </c>
      <c r="M22" s="344">
        <v>537.9</v>
      </c>
      <c r="N22" s="344">
        <v>419.1</v>
      </c>
      <c r="O22" s="317">
        <f t="shared" si="1"/>
        <v>957</v>
      </c>
      <c r="P22" s="344">
        <v>81.099999999999994</v>
      </c>
      <c r="Q22" s="344">
        <v>63.2</v>
      </c>
      <c r="R22" s="351">
        <f t="shared" si="2"/>
        <v>427.1</v>
      </c>
      <c r="S22" s="347">
        <v>5.8657874608150475</v>
      </c>
      <c r="T22" s="317">
        <f t="shared" si="3"/>
        <v>2.8787001689702456</v>
      </c>
      <c r="U22" s="317"/>
      <c r="V22" s="317"/>
      <c r="W22" s="317"/>
      <c r="X22" s="355">
        <v>2.2936999999999999</v>
      </c>
      <c r="Y22" s="317">
        <f t="shared" si="4"/>
        <v>0.79678322345758257</v>
      </c>
    </row>
    <row r="23" spans="1:25">
      <c r="A23" s="317" t="s">
        <v>8019</v>
      </c>
      <c r="B23" s="331"/>
      <c r="C23" s="317"/>
      <c r="D23" s="316"/>
      <c r="E23" s="319" t="s">
        <v>8026</v>
      </c>
      <c r="F23" s="319" t="s">
        <v>8015</v>
      </c>
      <c r="G23" s="324"/>
      <c r="H23" s="335"/>
      <c r="I23" s="335">
        <v>3432</v>
      </c>
      <c r="J23" s="347">
        <v>446.0932090545939</v>
      </c>
      <c r="K23" s="340">
        <v>8</v>
      </c>
      <c r="L23" s="317">
        <f t="shared" si="0"/>
        <v>0.40663730410734406</v>
      </c>
      <c r="M23" s="344">
        <v>587.29999999999995</v>
      </c>
      <c r="N23" s="344">
        <v>389</v>
      </c>
      <c r="O23" s="317">
        <f t="shared" si="1"/>
        <v>976.3</v>
      </c>
      <c r="P23" s="344">
        <v>77.5</v>
      </c>
      <c r="Q23" s="344">
        <v>49.4</v>
      </c>
      <c r="R23" s="351">
        <f t="shared" si="2"/>
        <v>397</v>
      </c>
      <c r="S23" s="347">
        <v>5.7299320905459386</v>
      </c>
      <c r="T23" s="317">
        <f t="shared" si="3"/>
        <v>2.895613850315129</v>
      </c>
      <c r="U23" s="317"/>
      <c r="V23" s="317"/>
      <c r="W23" s="317"/>
      <c r="X23" s="355">
        <v>3.2176999999999998</v>
      </c>
      <c r="Y23" s="317">
        <f t="shared" si="4"/>
        <v>1.1112324247412404</v>
      </c>
    </row>
    <row r="24" spans="1:25">
      <c r="A24" s="317" t="s">
        <v>8019</v>
      </c>
      <c r="B24" s="329"/>
      <c r="C24" s="317"/>
      <c r="D24" s="316"/>
      <c r="E24" s="319" t="s">
        <v>8022</v>
      </c>
      <c r="F24" s="319" t="s">
        <v>8015</v>
      </c>
      <c r="G24" s="324"/>
      <c r="H24" s="335"/>
      <c r="I24" s="335">
        <v>2106.6999999999998</v>
      </c>
      <c r="J24" s="347">
        <v>342.59292190699034</v>
      </c>
      <c r="K24" s="338">
        <v>8</v>
      </c>
      <c r="L24" s="317">
        <f t="shared" si="0"/>
        <v>0.53027200935946195</v>
      </c>
      <c r="M24" s="344">
        <v>168.6</v>
      </c>
      <c r="N24" s="344">
        <v>173.3</v>
      </c>
      <c r="O24" s="317">
        <f t="shared" si="1"/>
        <v>341.9</v>
      </c>
      <c r="P24" s="344">
        <v>29.3</v>
      </c>
      <c r="Q24" s="344">
        <v>26.3</v>
      </c>
      <c r="R24" s="351">
        <f t="shared" si="2"/>
        <v>181.3</v>
      </c>
      <c r="S24" s="347">
        <v>3.9819292190699036</v>
      </c>
      <c r="T24" s="317">
        <f t="shared" si="3"/>
        <v>3.1714263483791414</v>
      </c>
      <c r="U24" s="317"/>
      <c r="V24" s="317"/>
      <c r="W24" s="317"/>
      <c r="X24" s="355">
        <v>2.2759999999999998</v>
      </c>
      <c r="Y24" s="317">
        <f t="shared" si="4"/>
        <v>0.71765816070842137</v>
      </c>
    </row>
    <row r="25" spans="1:25">
      <c r="A25" s="317" t="s">
        <v>8019</v>
      </c>
      <c r="B25" s="331"/>
      <c r="C25" s="317"/>
      <c r="D25" s="316"/>
      <c r="E25" s="319" t="s">
        <v>8027</v>
      </c>
      <c r="F25" s="319" t="s">
        <v>8015</v>
      </c>
      <c r="G25" s="324"/>
      <c r="H25" s="335"/>
      <c r="I25" s="335">
        <v>2690.5</v>
      </c>
      <c r="J25" s="347">
        <v>375.85495047305994</v>
      </c>
      <c r="K25" s="340">
        <v>8</v>
      </c>
      <c r="L25" s="317">
        <f t="shared" si="0"/>
        <v>0.3980663024326685</v>
      </c>
      <c r="M25" s="344">
        <v>821.08</v>
      </c>
      <c r="N25" s="344">
        <v>529.70000000000005</v>
      </c>
      <c r="O25" s="317">
        <f t="shared" si="1"/>
        <v>1350.7800000000002</v>
      </c>
      <c r="P25" s="344">
        <v>117.1</v>
      </c>
      <c r="Q25" s="344">
        <v>71.599999999999994</v>
      </c>
      <c r="R25" s="351">
        <f t="shared" si="2"/>
        <v>537.70000000000005</v>
      </c>
      <c r="S25" s="347">
        <v>5.6455495047305995</v>
      </c>
      <c r="T25" s="317">
        <f t="shared" si="3"/>
        <v>2.9063737273707209</v>
      </c>
      <c r="U25" s="317"/>
      <c r="V25" s="317"/>
      <c r="W25" s="317"/>
      <c r="X25" s="355">
        <v>3.4321999999999999</v>
      </c>
      <c r="Y25" s="317">
        <f t="shared" si="4"/>
        <v>1.1809217677951462</v>
      </c>
    </row>
    <row r="26" spans="1:25">
      <c r="A26" s="317" t="s">
        <v>8019</v>
      </c>
      <c r="B26" s="329"/>
      <c r="C26" s="317"/>
      <c r="D26" s="316"/>
      <c r="E26" s="319" t="s">
        <v>8023</v>
      </c>
      <c r="F26" s="319" t="s">
        <v>8015</v>
      </c>
      <c r="G26" s="324"/>
      <c r="H26" s="335"/>
      <c r="I26" s="335">
        <v>2648.4</v>
      </c>
      <c r="J26" s="347">
        <v>453.59798255752867</v>
      </c>
      <c r="K26" s="338">
        <v>8</v>
      </c>
      <c r="L26" s="317">
        <f t="shared" si="0"/>
        <v>0.54702112010087212</v>
      </c>
      <c r="M26" s="344">
        <v>439.1</v>
      </c>
      <c r="N26" s="344">
        <v>512.6</v>
      </c>
      <c r="O26" s="317">
        <f t="shared" si="1"/>
        <v>951.7</v>
      </c>
      <c r="P26" s="344">
        <v>92.8</v>
      </c>
      <c r="Q26" s="344">
        <v>70.2</v>
      </c>
      <c r="R26" s="351">
        <f t="shared" si="2"/>
        <v>520.6</v>
      </c>
      <c r="S26" s="347">
        <v>6.1659798255752865</v>
      </c>
      <c r="T26" s="317">
        <f t="shared" si="3"/>
        <v>2.8430041205445304</v>
      </c>
      <c r="U26" s="317"/>
      <c r="V26" s="317"/>
      <c r="W26" s="317"/>
      <c r="X26" s="355">
        <v>2.6223000000000001</v>
      </c>
      <c r="Y26" s="317">
        <f t="shared" si="4"/>
        <v>0.92236939828906817</v>
      </c>
    </row>
    <row r="27" spans="1:25">
      <c r="A27" s="317" t="s">
        <v>8019</v>
      </c>
      <c r="B27" s="330"/>
      <c r="C27" s="317"/>
      <c r="D27" s="316"/>
      <c r="E27" s="319" t="s">
        <v>8024</v>
      </c>
      <c r="F27" s="319" t="s">
        <v>8016</v>
      </c>
      <c r="G27" s="324"/>
      <c r="H27" s="335"/>
      <c r="I27" s="335">
        <v>2336.9</v>
      </c>
      <c r="J27" s="347">
        <v>394.74306774701773</v>
      </c>
      <c r="K27" s="338">
        <v>8</v>
      </c>
      <c r="L27" s="317">
        <f t="shared" si="0"/>
        <v>0.57562457798784605</v>
      </c>
      <c r="M27" s="344">
        <v>385.1</v>
      </c>
      <c r="N27" s="344">
        <v>503.5</v>
      </c>
      <c r="O27" s="317">
        <f t="shared" si="1"/>
        <v>888.6</v>
      </c>
      <c r="P27" s="344">
        <v>61</v>
      </c>
      <c r="Q27" s="344">
        <v>89.1</v>
      </c>
      <c r="R27" s="351">
        <f t="shared" si="2"/>
        <v>511.5</v>
      </c>
      <c r="S27" s="347">
        <v>5.448430677470177</v>
      </c>
      <c r="T27" s="317">
        <f t="shared" si="3"/>
        <v>2.9323118578647835</v>
      </c>
      <c r="U27" s="317"/>
      <c r="V27" s="317"/>
      <c r="W27" s="317"/>
      <c r="X27" s="355">
        <v>2.8542999999999998</v>
      </c>
      <c r="Y27" s="317">
        <f t="shared" si="4"/>
        <v>0.97339578406179839</v>
      </c>
    </row>
    <row r="28" spans="1:25">
      <c r="A28" s="317" t="s">
        <v>8019</v>
      </c>
      <c r="B28" s="329"/>
      <c r="C28" s="317"/>
      <c r="D28" s="316"/>
      <c r="E28" s="319" t="s">
        <v>8020</v>
      </c>
      <c r="F28" s="319" t="s">
        <v>8016</v>
      </c>
      <c r="G28" s="324"/>
      <c r="H28" s="335"/>
      <c r="I28" s="335">
        <v>2687.5</v>
      </c>
      <c r="J28" s="347">
        <v>454.5004845743822</v>
      </c>
      <c r="K28" s="338">
        <v>8</v>
      </c>
      <c r="L28" s="317">
        <f t="shared" si="0"/>
        <v>0.62009368438055246</v>
      </c>
      <c r="M28" s="344">
        <v>243.2</v>
      </c>
      <c r="N28" s="344">
        <v>375.9</v>
      </c>
      <c r="O28" s="317">
        <f t="shared" si="1"/>
        <v>619.09999999999991</v>
      </c>
      <c r="P28" s="344">
        <v>38.700000000000003</v>
      </c>
      <c r="Q28" s="344">
        <v>66</v>
      </c>
      <c r="R28" s="351">
        <f t="shared" si="2"/>
        <v>383.9</v>
      </c>
      <c r="S28" s="347">
        <v>5.5920048457438227</v>
      </c>
      <c r="T28" s="317">
        <f t="shared" si="3"/>
        <v>2.913306174077285</v>
      </c>
      <c r="U28" s="317"/>
      <c r="V28" s="317"/>
      <c r="W28" s="317"/>
      <c r="X28" s="355">
        <v>2.1183999999999998</v>
      </c>
      <c r="Y28" s="317">
        <f t="shared" si="4"/>
        <v>0.72714636684932321</v>
      </c>
    </row>
    <row r="29" spans="1:25">
      <c r="A29" s="317" t="s">
        <v>8019</v>
      </c>
      <c r="B29" s="329"/>
      <c r="C29" s="317"/>
      <c r="D29" s="316"/>
      <c r="E29" s="319" t="s">
        <v>8021</v>
      </c>
      <c r="F29" s="319" t="s">
        <v>8016</v>
      </c>
      <c r="G29" s="324"/>
      <c r="H29" s="335"/>
      <c r="I29" s="335">
        <v>2796.4</v>
      </c>
      <c r="J29" s="347">
        <v>480.61353871098504</v>
      </c>
      <c r="K29" s="338">
        <v>8</v>
      </c>
      <c r="L29" s="317">
        <f t="shared" si="0"/>
        <v>0.59201459262261857</v>
      </c>
      <c r="M29" s="344">
        <v>209.3</v>
      </c>
      <c r="N29" s="344">
        <v>284.10000000000002</v>
      </c>
      <c r="O29" s="317">
        <f t="shared" si="1"/>
        <v>493.40000000000003</v>
      </c>
      <c r="P29" s="344">
        <v>33.6</v>
      </c>
      <c r="Q29" s="344">
        <v>51.2</v>
      </c>
      <c r="R29" s="351">
        <f t="shared" si="2"/>
        <v>292.10000000000002</v>
      </c>
      <c r="S29" s="347">
        <v>5.654135387109851</v>
      </c>
      <c r="T29" s="317">
        <f t="shared" si="3"/>
        <v>2.9052697564002448</v>
      </c>
      <c r="U29" s="317"/>
      <c r="V29" s="317"/>
      <c r="W29" s="317"/>
      <c r="X29" s="355">
        <v>1.9944</v>
      </c>
      <c r="Y29" s="317">
        <f t="shared" si="4"/>
        <v>0.68647670172670916</v>
      </c>
    </row>
    <row r="30" spans="1:25">
      <c r="A30" s="317" t="s">
        <v>8019</v>
      </c>
      <c r="B30" s="331"/>
      <c r="C30" s="317"/>
      <c r="D30" s="316"/>
      <c r="E30" s="319" t="s">
        <v>8025</v>
      </c>
      <c r="F30" s="319" t="s">
        <v>8016</v>
      </c>
      <c r="G30" s="324"/>
      <c r="H30" s="335"/>
      <c r="I30" s="335">
        <v>3165.5</v>
      </c>
      <c r="J30" s="347">
        <v>554.88639135737935</v>
      </c>
      <c r="K30" s="340">
        <v>7</v>
      </c>
      <c r="L30" s="317">
        <f t="shared" si="0"/>
        <v>0.44990416448858683</v>
      </c>
      <c r="M30" s="344">
        <v>322.7</v>
      </c>
      <c r="N30" s="344">
        <v>251.2</v>
      </c>
      <c r="O30" s="317">
        <f t="shared" si="1"/>
        <v>573.9</v>
      </c>
      <c r="P30" s="344">
        <v>42.5</v>
      </c>
      <c r="Q30" s="344">
        <v>58.1</v>
      </c>
      <c r="R30" s="351">
        <f t="shared" si="2"/>
        <v>258.2</v>
      </c>
      <c r="S30" s="347">
        <v>6.5548639135737936</v>
      </c>
      <c r="T30" s="317">
        <f t="shared" si="3"/>
        <v>2.7998650157357865</v>
      </c>
      <c r="U30" s="317"/>
      <c r="V30" s="317"/>
      <c r="W30" s="317"/>
      <c r="X30" s="355">
        <v>2.5882999999999998</v>
      </c>
      <c r="Y30" s="317">
        <f t="shared" si="4"/>
        <v>0.92443742303762855</v>
      </c>
    </row>
    <row r="31" spans="1:25">
      <c r="A31" s="317" t="s">
        <v>8019</v>
      </c>
      <c r="B31" s="329"/>
      <c r="C31" s="317"/>
      <c r="D31" s="316"/>
      <c r="E31" s="319" t="s">
        <v>8022</v>
      </c>
      <c r="F31" s="319" t="s">
        <v>8016</v>
      </c>
      <c r="G31" s="324"/>
      <c r="H31" s="335"/>
      <c r="I31" s="335">
        <v>3170</v>
      </c>
      <c r="J31" s="347">
        <v>527.16419561849978</v>
      </c>
      <c r="K31" s="338">
        <v>8</v>
      </c>
      <c r="L31" s="317">
        <f t="shared" si="0"/>
        <v>0.58408940030980305</v>
      </c>
      <c r="M31" s="344">
        <v>383.9</v>
      </c>
      <c r="N31" s="344">
        <v>519.9</v>
      </c>
      <c r="O31" s="317">
        <f t="shared" si="1"/>
        <v>903.8</v>
      </c>
      <c r="P31" s="344">
        <v>60.6</v>
      </c>
      <c r="Q31" s="344">
        <v>89.7</v>
      </c>
      <c r="R31" s="351">
        <f t="shared" si="2"/>
        <v>527.9</v>
      </c>
      <c r="S31" s="347">
        <v>6.7746419561849986</v>
      </c>
      <c r="T31" s="317">
        <f t="shared" si="3"/>
        <v>2.7768756173700062</v>
      </c>
      <c r="U31" s="317"/>
      <c r="V31" s="317"/>
      <c r="W31" s="317"/>
      <c r="X31" s="355">
        <v>2.2206999999999999</v>
      </c>
      <c r="Y31" s="317">
        <f t="shared" si="4"/>
        <v>0.79971172857329376</v>
      </c>
    </row>
    <row r="32" spans="1:25">
      <c r="A32" s="317" t="s">
        <v>8019</v>
      </c>
      <c r="B32" s="331"/>
      <c r="C32" s="317"/>
      <c r="D32" s="316"/>
      <c r="E32" s="319" t="s">
        <v>8026</v>
      </c>
      <c r="F32" s="319" t="s">
        <v>8016</v>
      </c>
      <c r="G32" s="324"/>
      <c r="H32" s="335"/>
      <c r="I32" s="335">
        <v>2980</v>
      </c>
      <c r="J32" s="347">
        <v>420.7456090651558</v>
      </c>
      <c r="K32" s="340">
        <v>8</v>
      </c>
      <c r="L32" s="317">
        <f t="shared" si="0"/>
        <v>0.58991501416430603</v>
      </c>
      <c r="M32" s="344">
        <v>369.9</v>
      </c>
      <c r="N32" s="344">
        <v>512.6</v>
      </c>
      <c r="O32" s="317">
        <f t="shared" si="1"/>
        <v>882.5</v>
      </c>
      <c r="P32" s="344">
        <v>54.5</v>
      </c>
      <c r="Q32" s="344">
        <v>70.099999999999994</v>
      </c>
      <c r="R32" s="351">
        <f t="shared" si="2"/>
        <v>520.6</v>
      </c>
      <c r="S32" s="347">
        <v>5.4534560906515583</v>
      </c>
      <c r="T32" s="317">
        <f t="shared" si="3"/>
        <v>2.9316360857742612</v>
      </c>
      <c r="U32" s="317"/>
      <c r="V32" s="317"/>
      <c r="W32" s="317"/>
      <c r="X32" s="355">
        <v>2.9441000000000002</v>
      </c>
      <c r="Y32" s="317">
        <f t="shared" si="4"/>
        <v>1.004251521628561</v>
      </c>
    </row>
    <row r="33" spans="1:25">
      <c r="A33" s="317" t="s">
        <v>8019</v>
      </c>
      <c r="B33" s="329"/>
      <c r="C33" s="317"/>
      <c r="D33" s="316"/>
      <c r="E33" s="319" t="s">
        <v>8023</v>
      </c>
      <c r="F33" s="319" t="s">
        <v>8016</v>
      </c>
      <c r="G33" s="324"/>
      <c r="H33" s="335"/>
      <c r="I33" s="335">
        <v>3397</v>
      </c>
      <c r="J33" s="347">
        <v>555.83096686950637</v>
      </c>
      <c r="K33" s="338">
        <v>8</v>
      </c>
      <c r="L33" s="317">
        <f t="shared" si="0"/>
        <v>0.57809330628803246</v>
      </c>
      <c r="M33" s="344">
        <v>257.60000000000002</v>
      </c>
      <c r="N33" s="344">
        <v>334</v>
      </c>
      <c r="O33" s="317">
        <f t="shared" si="1"/>
        <v>591.6</v>
      </c>
      <c r="P33" s="344">
        <v>40.799999999999997</v>
      </c>
      <c r="Q33" s="344">
        <v>56</v>
      </c>
      <c r="R33" s="351">
        <f t="shared" si="2"/>
        <v>342</v>
      </c>
      <c r="S33" s="347">
        <v>6.5263096686950632</v>
      </c>
      <c r="T33" s="317">
        <f t="shared" si="3"/>
        <v>2.8029225320368689</v>
      </c>
      <c r="U33" s="317"/>
      <c r="V33" s="317"/>
      <c r="W33" s="317"/>
      <c r="X33" s="355">
        <v>2.4590999999999998</v>
      </c>
      <c r="Y33" s="317">
        <f t="shared" si="4"/>
        <v>0.87733427231504146</v>
      </c>
    </row>
    <row r="34" spans="1:25" ht="13.5" thickBot="1">
      <c r="A34" s="322" t="s">
        <v>8019</v>
      </c>
      <c r="B34" s="332"/>
      <c r="C34" s="322"/>
      <c r="D34" s="316"/>
      <c r="E34" s="320" t="s">
        <v>8027</v>
      </c>
      <c r="F34" s="320" t="s">
        <v>8016</v>
      </c>
      <c r="G34" s="325"/>
      <c r="H34" s="336"/>
      <c r="I34" s="336">
        <v>2541.3000000000002</v>
      </c>
      <c r="J34" s="349">
        <v>395.9177879714577</v>
      </c>
      <c r="K34" s="341">
        <v>8</v>
      </c>
      <c r="L34" s="322">
        <f t="shared" si="0"/>
        <v>0.56710839279646619</v>
      </c>
      <c r="M34" s="345">
        <v>262.8</v>
      </c>
      <c r="N34" s="345">
        <v>325.8</v>
      </c>
      <c r="O34" s="322">
        <f t="shared" si="1"/>
        <v>588.6</v>
      </c>
      <c r="P34" s="345">
        <v>39.4</v>
      </c>
      <c r="Q34" s="345">
        <v>52.3</v>
      </c>
      <c r="R34" s="353">
        <f t="shared" si="2"/>
        <v>333.8</v>
      </c>
      <c r="S34" s="349">
        <v>4.8761778797145769</v>
      </c>
      <c r="T34" s="322">
        <f t="shared" si="3"/>
        <v>3.0147973787394715</v>
      </c>
      <c r="U34" s="322"/>
      <c r="V34" s="322"/>
      <c r="W34" s="322"/>
      <c r="X34" s="357">
        <v>2.8416999999999999</v>
      </c>
      <c r="Y34" s="322">
        <f t="shared" si="4"/>
        <v>0.94258407548044043</v>
      </c>
    </row>
    <row r="37" spans="1:25">
      <c r="A37" s="202" t="s">
        <v>7681</v>
      </c>
    </row>
    <row r="38" spans="1:25">
      <c r="A38" s="201" t="s">
        <v>7680</v>
      </c>
    </row>
    <row r="39" spans="1:25">
      <c r="A39" s="201" t="s">
        <v>7679</v>
      </c>
    </row>
    <row r="40" spans="1:25">
      <c r="A40" s="201" t="s">
        <v>7678</v>
      </c>
    </row>
    <row r="41" spans="1:25">
      <c r="A41" s="202" t="s">
        <v>7957</v>
      </c>
    </row>
    <row r="42" spans="1:25">
      <c r="A42" s="202" t="s">
        <v>7677</v>
      </c>
    </row>
    <row r="43" spans="1:25">
      <c r="A43" s="202" t="s">
        <v>7676</v>
      </c>
    </row>
    <row r="44" spans="1:25">
      <c r="A44" s="201" t="s">
        <v>7675</v>
      </c>
    </row>
    <row r="45" spans="1:25">
      <c r="A45" s="201" t="s">
        <v>7674</v>
      </c>
    </row>
    <row r="46" spans="1:25">
      <c r="A46" s="201" t="s">
        <v>7673</v>
      </c>
    </row>
    <row r="47" spans="1:25">
      <c r="A47" s="201" t="s">
        <v>7672</v>
      </c>
    </row>
    <row r="49" spans="1:1">
      <c r="A49" s="200" t="s">
        <v>7712</v>
      </c>
    </row>
    <row r="51" spans="1:1" ht="21">
      <c r="A51" s="226" t="s">
        <v>7958</v>
      </c>
    </row>
    <row r="52" spans="1:1" ht="21">
      <c r="A52" s="226" t="s">
        <v>7959</v>
      </c>
    </row>
    <row r="53" spans="1:1" ht="21">
      <c r="A53" s="226" t="s">
        <v>7960</v>
      </c>
    </row>
    <row r="54" spans="1:1" ht="21">
      <c r="A54" s="226" t="s">
        <v>7961</v>
      </c>
    </row>
  </sheetData>
  <sheetProtection selectLockedCells="1" selectUnlockedCells="1"/>
  <mergeCells count="4">
    <mergeCell ref="K1:R1"/>
    <mergeCell ref="H1:J1"/>
    <mergeCell ref="S1:T1"/>
    <mergeCell ref="U1:W1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2:BT36"/>
  <sheetViews>
    <sheetView zoomScale="80" zoomScaleNormal="80" workbookViewId="0">
      <selection activeCell="C7" sqref="C7"/>
    </sheetView>
  </sheetViews>
  <sheetFormatPr baseColWidth="10" defaultRowHeight="12.75"/>
  <cols>
    <col min="1" max="1" width="7.28515625" style="238" customWidth="1"/>
    <col min="2" max="2" width="2.42578125" style="238" bestFit="1" customWidth="1"/>
    <col min="3" max="3" width="7" style="238" bestFit="1" customWidth="1"/>
    <col min="4" max="4" width="7.140625" style="238" bestFit="1" customWidth="1"/>
    <col min="5" max="5" width="27.140625" style="238" bestFit="1" customWidth="1"/>
    <col min="6" max="7" width="4.42578125" style="238" bestFit="1" customWidth="1"/>
    <col min="8" max="8" width="5.5703125" style="238" bestFit="1" customWidth="1"/>
    <col min="9" max="10" width="4.42578125" style="238" bestFit="1" customWidth="1"/>
    <col min="11" max="11" width="5.5703125" style="238" bestFit="1" customWidth="1"/>
    <col min="12" max="12" width="10" style="238" bestFit="1" customWidth="1"/>
    <col min="13" max="13" width="4.42578125" style="238" bestFit="1" customWidth="1"/>
    <col min="14" max="14" width="15.7109375" style="238" bestFit="1" customWidth="1"/>
    <col min="15" max="15" width="4.42578125" style="238" bestFit="1" customWidth="1"/>
    <col min="16" max="16" width="5.5703125" style="238" bestFit="1" customWidth="1"/>
    <col min="17" max="18" width="4.42578125" style="238" bestFit="1" customWidth="1"/>
    <col min="19" max="19" width="11.42578125" style="238"/>
    <col min="20" max="20" width="4.42578125" style="238" bestFit="1" customWidth="1"/>
    <col min="21" max="21" width="5.5703125" style="238" bestFit="1" customWidth="1"/>
    <col min="22" max="24" width="4.42578125" style="238" bestFit="1" customWidth="1"/>
    <col min="25" max="25" width="7.42578125" style="238" bestFit="1" customWidth="1"/>
    <col min="26" max="27" width="4.42578125" style="238" bestFit="1" customWidth="1"/>
    <col min="28" max="28" width="9.42578125" style="238" bestFit="1" customWidth="1"/>
    <col min="29" max="29" width="5.5703125" style="238" bestFit="1" customWidth="1"/>
    <col min="30" max="36" width="4.42578125" style="238" bestFit="1" customWidth="1"/>
    <col min="37" max="37" width="2.42578125" style="238" bestFit="1" customWidth="1"/>
    <col min="38" max="38" width="5.7109375" style="239" bestFit="1" customWidth="1"/>
    <col min="39" max="39" width="4.140625" style="238" bestFit="1" customWidth="1"/>
    <col min="40" max="42" width="4.42578125" style="238" bestFit="1" customWidth="1"/>
    <col min="43" max="43" width="5.5703125" style="238" bestFit="1" customWidth="1"/>
    <col min="44" max="48" width="4.42578125" style="238" bestFit="1" customWidth="1"/>
    <col min="49" max="49" width="5.5703125" style="238" bestFit="1" customWidth="1"/>
    <col min="50" max="55" width="4.42578125" style="238" bestFit="1" customWidth="1"/>
    <col min="56" max="56" width="4.42578125" style="239" bestFit="1" customWidth="1"/>
    <col min="57" max="58" width="4.42578125" style="238" bestFit="1" customWidth="1"/>
    <col min="59" max="59" width="5.5703125" style="238" bestFit="1" customWidth="1"/>
    <col min="60" max="67" width="4.42578125" style="238" bestFit="1" customWidth="1"/>
    <col min="68" max="68" width="5.5703125" style="238" bestFit="1" customWidth="1"/>
    <col min="69" max="71" width="4.42578125" style="238" bestFit="1" customWidth="1"/>
    <col min="72" max="72" width="2.42578125" style="238" bestFit="1" customWidth="1"/>
    <col min="73" max="16384" width="11.42578125" style="238"/>
  </cols>
  <sheetData>
    <row r="2" spans="1:72">
      <c r="C2" s="238" t="s">
        <v>262</v>
      </c>
      <c r="E2" s="238">
        <v>1</v>
      </c>
      <c r="F2" s="238">
        <v>2</v>
      </c>
      <c r="G2" s="238">
        <v>3</v>
      </c>
      <c r="H2" s="238">
        <v>4</v>
      </c>
      <c r="I2" s="238">
        <v>5</v>
      </c>
      <c r="J2" s="238">
        <v>6</v>
      </c>
      <c r="K2" s="238">
        <v>7</v>
      </c>
      <c r="L2" s="238">
        <v>8</v>
      </c>
      <c r="M2" s="238">
        <v>9</v>
      </c>
      <c r="N2" s="238">
        <v>10</v>
      </c>
      <c r="O2" s="238">
        <v>11</v>
      </c>
      <c r="P2" s="238">
        <v>12</v>
      </c>
      <c r="Q2" s="238">
        <v>13</v>
      </c>
      <c r="R2" s="238">
        <v>14</v>
      </c>
      <c r="S2" s="238">
        <v>15</v>
      </c>
      <c r="T2" s="238">
        <v>16</v>
      </c>
      <c r="U2" s="238">
        <v>17</v>
      </c>
      <c r="V2" s="238">
        <v>18</v>
      </c>
      <c r="W2" s="238">
        <v>19</v>
      </c>
      <c r="X2" s="238">
        <v>20</v>
      </c>
      <c r="Y2" s="238">
        <v>21</v>
      </c>
      <c r="Z2" s="238">
        <v>22</v>
      </c>
      <c r="AA2" s="238">
        <v>23</v>
      </c>
      <c r="AB2" s="238">
        <v>24</v>
      </c>
      <c r="AC2" s="238">
        <v>25</v>
      </c>
      <c r="AD2" s="238">
        <v>26</v>
      </c>
      <c r="AE2" s="238">
        <v>27</v>
      </c>
      <c r="AF2" s="238">
        <v>28</v>
      </c>
      <c r="AG2" s="238">
        <v>29</v>
      </c>
      <c r="AH2" s="238">
        <v>30</v>
      </c>
      <c r="AI2" s="238">
        <v>31</v>
      </c>
      <c r="AJ2" s="238">
        <v>32</v>
      </c>
      <c r="AL2" s="238" t="s">
        <v>262</v>
      </c>
      <c r="AN2" s="238">
        <v>33</v>
      </c>
      <c r="AO2" s="238">
        <v>34</v>
      </c>
      <c r="AP2" s="238">
        <v>35</v>
      </c>
      <c r="AQ2" s="238">
        <v>36</v>
      </c>
      <c r="AR2" s="238">
        <v>37</v>
      </c>
      <c r="AS2" s="238">
        <v>38</v>
      </c>
      <c r="AT2" s="238">
        <v>39</v>
      </c>
      <c r="AU2" s="238">
        <v>40</v>
      </c>
      <c r="AV2" s="238">
        <v>41</v>
      </c>
      <c r="AW2" s="238">
        <v>42</v>
      </c>
      <c r="AX2" s="238">
        <v>43</v>
      </c>
      <c r="AY2" s="238">
        <v>44</v>
      </c>
      <c r="AZ2" s="238">
        <v>45</v>
      </c>
      <c r="BA2" s="238">
        <v>46</v>
      </c>
      <c r="BB2" s="238">
        <v>47</v>
      </c>
      <c r="BC2" s="238">
        <v>48</v>
      </c>
      <c r="BD2" s="238">
        <v>49</v>
      </c>
      <c r="BE2" s="238">
        <v>50</v>
      </c>
      <c r="BF2" s="238">
        <v>51</v>
      </c>
      <c r="BG2" s="238">
        <v>52</v>
      </c>
      <c r="BH2" s="238">
        <v>53</v>
      </c>
      <c r="BI2" s="238">
        <v>54</v>
      </c>
      <c r="BJ2" s="238">
        <v>55</v>
      </c>
      <c r="BK2" s="238">
        <v>56</v>
      </c>
      <c r="BL2" s="238">
        <v>57</v>
      </c>
      <c r="BM2" s="238">
        <v>58</v>
      </c>
      <c r="BN2" s="238">
        <v>59</v>
      </c>
      <c r="BO2" s="238">
        <v>60</v>
      </c>
      <c r="BP2" s="238">
        <v>61</v>
      </c>
      <c r="BQ2" s="238">
        <v>62</v>
      </c>
      <c r="BR2" s="238">
        <v>63</v>
      </c>
      <c r="BS2" s="238">
        <v>64</v>
      </c>
    </row>
    <row r="3" spans="1:72" ht="13.5" thickBot="1">
      <c r="C3" s="238" t="s">
        <v>7996</v>
      </c>
      <c r="D3" s="239" t="s">
        <v>7670</v>
      </c>
      <c r="E3" s="238">
        <v>1</v>
      </c>
      <c r="AL3" s="238" t="s">
        <v>7996</v>
      </c>
      <c r="AM3" s="239" t="s">
        <v>7670</v>
      </c>
      <c r="AN3" s="238">
        <v>5</v>
      </c>
    </row>
    <row r="4" spans="1:72" ht="14.25" thickTop="1" thickBot="1">
      <c r="B4" s="254" t="s">
        <v>7997</v>
      </c>
      <c r="C4" s="255">
        <v>107</v>
      </c>
      <c r="D4" s="256" t="s">
        <v>7997</v>
      </c>
      <c r="E4" s="257">
        <v>64</v>
      </c>
      <c r="F4" s="257">
        <v>49</v>
      </c>
      <c r="G4" s="258">
        <v>85</v>
      </c>
      <c r="H4" s="257">
        <v>61</v>
      </c>
      <c r="I4" s="257">
        <v>93</v>
      </c>
      <c r="J4" s="259">
        <v>124</v>
      </c>
      <c r="K4" s="257">
        <v>34</v>
      </c>
      <c r="L4" s="257">
        <v>95</v>
      </c>
      <c r="M4" s="257">
        <v>87</v>
      </c>
      <c r="N4" s="257">
        <v>36</v>
      </c>
      <c r="O4" s="257">
        <v>52</v>
      </c>
      <c r="P4" s="257">
        <v>38</v>
      </c>
      <c r="Q4" s="257">
        <v>99</v>
      </c>
      <c r="R4" s="257">
        <v>119</v>
      </c>
      <c r="S4" s="257">
        <v>69</v>
      </c>
      <c r="T4" s="257">
        <v>20</v>
      </c>
      <c r="U4" s="260">
        <v>82</v>
      </c>
      <c r="V4" s="257">
        <v>113</v>
      </c>
      <c r="W4" s="261">
        <v>47</v>
      </c>
      <c r="X4" s="257">
        <v>116</v>
      </c>
      <c r="Y4" s="262">
        <v>1</v>
      </c>
      <c r="Z4" s="257">
        <v>27</v>
      </c>
      <c r="AA4" s="257">
        <v>24</v>
      </c>
      <c r="AB4" s="257">
        <v>66</v>
      </c>
      <c r="AC4" s="257">
        <v>107</v>
      </c>
      <c r="AD4" s="257">
        <v>12</v>
      </c>
      <c r="AE4" s="258">
        <v>80</v>
      </c>
      <c r="AF4" s="257">
        <v>11</v>
      </c>
      <c r="AG4" s="257">
        <v>58</v>
      </c>
      <c r="AH4" s="257">
        <v>60</v>
      </c>
      <c r="AI4" s="257">
        <v>40</v>
      </c>
      <c r="AJ4" s="257">
        <v>67</v>
      </c>
      <c r="AK4" s="263" t="s">
        <v>7997</v>
      </c>
      <c r="AL4" s="239">
        <v>1</v>
      </c>
      <c r="AM4" s="256" t="s">
        <v>7997</v>
      </c>
      <c r="AN4" s="257">
        <v>73</v>
      </c>
      <c r="AO4" s="257">
        <v>53</v>
      </c>
      <c r="AP4" s="257">
        <v>67</v>
      </c>
      <c r="AQ4" s="257" t="s">
        <v>7998</v>
      </c>
      <c r="AR4" s="257">
        <v>52</v>
      </c>
      <c r="AS4" s="257">
        <v>63</v>
      </c>
      <c r="AT4" s="257">
        <v>54</v>
      </c>
      <c r="AU4" s="257">
        <v>38</v>
      </c>
      <c r="AV4" s="257">
        <v>116</v>
      </c>
      <c r="AW4" s="257">
        <v>19</v>
      </c>
      <c r="AX4" s="257">
        <v>104</v>
      </c>
      <c r="AY4" s="257">
        <v>103</v>
      </c>
      <c r="AZ4" s="260">
        <v>30</v>
      </c>
      <c r="BA4" s="264">
        <v>127</v>
      </c>
      <c r="BB4" s="261">
        <v>62</v>
      </c>
      <c r="BC4" s="265">
        <v>121</v>
      </c>
      <c r="BD4" s="266">
        <v>68</v>
      </c>
      <c r="BE4" s="257">
        <v>25</v>
      </c>
      <c r="BF4" s="257">
        <v>115</v>
      </c>
      <c r="BG4" s="257">
        <v>42</v>
      </c>
      <c r="BH4" s="257">
        <v>11</v>
      </c>
      <c r="BI4" s="257">
        <v>80</v>
      </c>
      <c r="BJ4" s="267">
        <v>2</v>
      </c>
      <c r="BK4" s="257">
        <v>111</v>
      </c>
      <c r="BL4" s="257">
        <v>47</v>
      </c>
      <c r="BM4" s="258">
        <v>20</v>
      </c>
      <c r="BN4" s="257">
        <v>49</v>
      </c>
      <c r="BO4" s="257">
        <v>78</v>
      </c>
      <c r="BP4" s="257">
        <v>34</v>
      </c>
      <c r="BQ4" s="257">
        <v>29</v>
      </c>
      <c r="BR4" s="257">
        <v>15</v>
      </c>
      <c r="BS4" s="257">
        <v>76</v>
      </c>
      <c r="BT4" s="263" t="s">
        <v>7997</v>
      </c>
    </row>
    <row r="5" spans="1:72" ht="16.5" thickTop="1" thickBot="1">
      <c r="A5" s="268" t="s">
        <v>7999</v>
      </c>
      <c r="B5" s="263" t="s">
        <v>7997</v>
      </c>
      <c r="C5" s="255">
        <v>17</v>
      </c>
      <c r="D5" s="256" t="s">
        <v>7997</v>
      </c>
      <c r="E5" s="258">
        <v>70</v>
      </c>
      <c r="F5" s="260">
        <v>28</v>
      </c>
      <c r="G5" s="264">
        <v>127</v>
      </c>
      <c r="H5" s="261">
        <v>13</v>
      </c>
      <c r="I5" s="257">
        <v>98</v>
      </c>
      <c r="J5" s="257">
        <v>46</v>
      </c>
      <c r="K5" s="257">
        <v>88</v>
      </c>
      <c r="L5" s="257">
        <v>72</v>
      </c>
      <c r="M5" s="257">
        <v>111</v>
      </c>
      <c r="N5" s="257">
        <v>92</v>
      </c>
      <c r="O5" s="257">
        <v>110</v>
      </c>
      <c r="P5" s="257">
        <v>77</v>
      </c>
      <c r="Q5" s="257">
        <v>41</v>
      </c>
      <c r="R5" s="257">
        <v>22</v>
      </c>
      <c r="S5" s="257">
        <v>37</v>
      </c>
      <c r="T5" s="257">
        <v>29</v>
      </c>
      <c r="U5" s="257">
        <v>42</v>
      </c>
      <c r="V5" s="269">
        <v>94</v>
      </c>
      <c r="W5" s="257">
        <v>15</v>
      </c>
      <c r="X5" s="257">
        <v>59</v>
      </c>
      <c r="Y5" s="257">
        <v>106</v>
      </c>
      <c r="Z5" s="257">
        <v>39</v>
      </c>
      <c r="AA5" s="257">
        <v>8</v>
      </c>
      <c r="AB5" s="257">
        <v>101</v>
      </c>
      <c r="AC5" s="257">
        <v>17</v>
      </c>
      <c r="AD5" s="260">
        <v>91</v>
      </c>
      <c r="AE5" s="264">
        <v>128</v>
      </c>
      <c r="AF5" s="261">
        <v>105</v>
      </c>
      <c r="AG5" s="257">
        <v>120</v>
      </c>
      <c r="AH5" s="257">
        <v>114</v>
      </c>
      <c r="AI5" s="257">
        <v>62</v>
      </c>
      <c r="AJ5" s="257">
        <v>16</v>
      </c>
      <c r="AK5" s="263" t="s">
        <v>7997</v>
      </c>
      <c r="AL5" s="239">
        <v>2</v>
      </c>
      <c r="AM5" s="256" t="s">
        <v>7997</v>
      </c>
      <c r="AN5" s="259">
        <v>124</v>
      </c>
      <c r="AO5" s="262">
        <v>1</v>
      </c>
      <c r="AP5" s="257">
        <v>12</v>
      </c>
      <c r="AQ5" s="257">
        <v>79</v>
      </c>
      <c r="AR5" s="257">
        <v>8</v>
      </c>
      <c r="AS5" s="257">
        <v>39</v>
      </c>
      <c r="AT5" s="257">
        <v>48</v>
      </c>
      <c r="AU5" s="257">
        <v>31</v>
      </c>
      <c r="AV5" s="257">
        <v>37</v>
      </c>
      <c r="AW5" s="257">
        <v>86</v>
      </c>
      <c r="AX5" s="257">
        <v>109</v>
      </c>
      <c r="AY5" s="257">
        <v>105</v>
      </c>
      <c r="AZ5" s="257">
        <v>66</v>
      </c>
      <c r="BA5" s="270">
        <v>95</v>
      </c>
      <c r="BB5" s="257">
        <v>84</v>
      </c>
      <c r="BC5" s="257">
        <v>59</v>
      </c>
      <c r="BD5" s="271">
        <v>13</v>
      </c>
      <c r="BE5" s="257">
        <v>60</v>
      </c>
      <c r="BF5" s="257">
        <v>43</v>
      </c>
      <c r="BG5" s="257">
        <v>7</v>
      </c>
      <c r="BH5" s="257">
        <v>46</v>
      </c>
      <c r="BI5" s="257">
        <v>18</v>
      </c>
      <c r="BJ5" s="257">
        <v>56</v>
      </c>
      <c r="BK5" s="257">
        <v>36</v>
      </c>
      <c r="BL5" s="260">
        <v>45</v>
      </c>
      <c r="BM5" s="264">
        <v>128</v>
      </c>
      <c r="BN5" s="261">
        <v>114</v>
      </c>
      <c r="BO5" s="257">
        <v>81</v>
      </c>
      <c r="BP5" s="257">
        <v>41</v>
      </c>
      <c r="BQ5" s="257">
        <v>110</v>
      </c>
      <c r="BR5" s="257">
        <v>26</v>
      </c>
      <c r="BS5" s="257">
        <v>83</v>
      </c>
      <c r="BT5" s="263" t="s">
        <v>7997</v>
      </c>
    </row>
    <row r="6" spans="1:72" ht="13.5" thickTop="1">
      <c r="B6" s="254" t="s">
        <v>7997</v>
      </c>
      <c r="C6" s="255">
        <v>54</v>
      </c>
      <c r="D6" s="256" t="s">
        <v>7997</v>
      </c>
      <c r="E6" s="257">
        <v>50</v>
      </c>
      <c r="F6" s="261">
        <v>43</v>
      </c>
      <c r="G6" s="269">
        <v>56</v>
      </c>
      <c r="H6" s="257">
        <v>3</v>
      </c>
      <c r="I6" s="257">
        <v>115</v>
      </c>
      <c r="J6" s="257">
        <v>103</v>
      </c>
      <c r="K6" s="257">
        <v>84</v>
      </c>
      <c r="L6" s="257">
        <v>63</v>
      </c>
      <c r="M6" s="257">
        <v>45</v>
      </c>
      <c r="N6" s="257">
        <v>44</v>
      </c>
      <c r="O6" s="267">
        <v>2</v>
      </c>
      <c r="P6" s="257">
        <v>7</v>
      </c>
      <c r="Q6" s="257">
        <v>81</v>
      </c>
      <c r="R6" s="257">
        <v>65</v>
      </c>
      <c r="S6" s="257">
        <v>76</v>
      </c>
      <c r="T6" s="257">
        <v>83</v>
      </c>
      <c r="U6" s="257">
        <v>78</v>
      </c>
      <c r="V6" s="257">
        <v>14</v>
      </c>
      <c r="W6" s="257">
        <v>86</v>
      </c>
      <c r="X6" s="257">
        <v>19</v>
      </c>
      <c r="Y6" s="257">
        <v>117</v>
      </c>
      <c r="Z6" s="257">
        <v>118</v>
      </c>
      <c r="AA6" s="257">
        <v>10</v>
      </c>
      <c r="AB6" s="257">
        <v>21</v>
      </c>
      <c r="AC6" s="257">
        <v>54</v>
      </c>
      <c r="AD6" s="257">
        <v>79</v>
      </c>
      <c r="AE6" s="269">
        <v>53</v>
      </c>
      <c r="AF6" s="257">
        <v>73</v>
      </c>
      <c r="AG6" s="257">
        <v>55</v>
      </c>
      <c r="AH6" s="257">
        <v>96</v>
      </c>
      <c r="AI6" s="257">
        <v>108</v>
      </c>
      <c r="AJ6" s="257">
        <v>89</v>
      </c>
      <c r="AK6" s="263" t="s">
        <v>7997</v>
      </c>
      <c r="AL6" s="239">
        <v>3</v>
      </c>
      <c r="AM6" s="256" t="s">
        <v>7997</v>
      </c>
      <c r="AN6" s="257">
        <v>22</v>
      </c>
      <c r="AO6" s="257">
        <v>72</v>
      </c>
      <c r="AP6" s="257">
        <v>82</v>
      </c>
      <c r="AQ6" s="257">
        <v>113</v>
      </c>
      <c r="AR6" s="257">
        <v>93</v>
      </c>
      <c r="AS6" s="257">
        <v>112</v>
      </c>
      <c r="AT6" s="257">
        <v>98</v>
      </c>
      <c r="AU6" s="257">
        <v>23</v>
      </c>
      <c r="AV6" s="257">
        <v>16</v>
      </c>
      <c r="AW6" s="257">
        <v>69</v>
      </c>
      <c r="AX6" s="272">
        <v>126</v>
      </c>
      <c r="AY6" s="257">
        <v>9</v>
      </c>
      <c r="AZ6" s="260">
        <v>74</v>
      </c>
      <c r="BA6" s="257">
        <v>58</v>
      </c>
      <c r="BB6" s="261">
        <v>33</v>
      </c>
      <c r="BC6" s="257">
        <v>119</v>
      </c>
      <c r="BD6" s="266">
        <v>120</v>
      </c>
      <c r="BE6" s="257">
        <v>89</v>
      </c>
      <c r="BF6" s="257">
        <v>85</v>
      </c>
      <c r="BG6" s="257">
        <v>118</v>
      </c>
      <c r="BH6" s="257">
        <v>91</v>
      </c>
      <c r="BI6" s="257">
        <v>87</v>
      </c>
      <c r="BJ6" s="257">
        <v>14</v>
      </c>
      <c r="BK6" s="257">
        <v>108</v>
      </c>
      <c r="BL6" s="257">
        <v>97</v>
      </c>
      <c r="BM6" s="269">
        <v>90</v>
      </c>
      <c r="BN6" s="257">
        <v>27</v>
      </c>
      <c r="BO6" s="273">
        <v>123</v>
      </c>
      <c r="BP6" s="257">
        <v>51</v>
      </c>
      <c r="BQ6" s="257">
        <v>65</v>
      </c>
      <c r="BR6" s="257">
        <v>99</v>
      </c>
      <c r="BS6" s="257">
        <v>94</v>
      </c>
      <c r="BT6" s="263" t="s">
        <v>7997</v>
      </c>
    </row>
    <row r="7" spans="1:72">
      <c r="B7" s="256" t="s">
        <v>7997</v>
      </c>
      <c r="C7" s="255">
        <v>5</v>
      </c>
      <c r="D7" s="274" t="s">
        <v>7997</v>
      </c>
      <c r="E7" s="269">
        <v>90</v>
      </c>
      <c r="F7" s="257">
        <v>23</v>
      </c>
      <c r="G7" s="257">
        <v>35</v>
      </c>
      <c r="H7" s="257" t="s">
        <v>7998</v>
      </c>
      <c r="I7" s="257">
        <v>18</v>
      </c>
      <c r="J7" s="257">
        <v>100</v>
      </c>
      <c r="K7" s="257">
        <v>71</v>
      </c>
      <c r="L7" s="265">
        <v>121</v>
      </c>
      <c r="M7" s="257">
        <v>57</v>
      </c>
      <c r="N7" s="257">
        <v>4</v>
      </c>
      <c r="O7" s="257">
        <v>9</v>
      </c>
      <c r="P7" s="257">
        <v>102</v>
      </c>
      <c r="Q7" s="257">
        <v>75</v>
      </c>
      <c r="R7" s="275">
        <v>125</v>
      </c>
      <c r="S7" s="257">
        <v>30</v>
      </c>
      <c r="T7" s="257">
        <v>33</v>
      </c>
      <c r="U7" s="257">
        <v>26</v>
      </c>
      <c r="V7" s="257">
        <v>97</v>
      </c>
      <c r="W7" s="257">
        <v>25</v>
      </c>
      <c r="X7" s="257">
        <v>31</v>
      </c>
      <c r="Y7" s="257">
        <v>109</v>
      </c>
      <c r="Z7" s="257">
        <v>68</v>
      </c>
      <c r="AA7" s="257">
        <v>51</v>
      </c>
      <c r="AB7" s="272">
        <v>126</v>
      </c>
      <c r="AC7" s="257">
        <v>5</v>
      </c>
      <c r="AD7" s="257">
        <v>104</v>
      </c>
      <c r="AE7" s="257">
        <v>6</v>
      </c>
      <c r="AF7" s="257">
        <v>112</v>
      </c>
      <c r="AG7" s="257">
        <v>32</v>
      </c>
      <c r="AH7" s="257">
        <v>74</v>
      </c>
      <c r="AI7" s="273">
        <v>123</v>
      </c>
      <c r="AJ7" s="257">
        <v>48</v>
      </c>
      <c r="AK7" s="263" t="s">
        <v>7997</v>
      </c>
      <c r="AL7" s="239">
        <v>4</v>
      </c>
      <c r="AM7" s="256" t="s">
        <v>7997</v>
      </c>
      <c r="AN7" s="257">
        <v>21</v>
      </c>
      <c r="AO7" s="257">
        <v>32</v>
      </c>
      <c r="AP7" s="257">
        <v>17</v>
      </c>
      <c r="AQ7" s="257">
        <v>57</v>
      </c>
      <c r="AR7" s="257">
        <v>64</v>
      </c>
      <c r="AS7" s="257">
        <v>28</v>
      </c>
      <c r="AT7" s="257">
        <v>92</v>
      </c>
      <c r="AU7" s="257">
        <v>50</v>
      </c>
      <c r="AV7" s="275">
        <v>125</v>
      </c>
      <c r="AW7" s="257">
        <v>75</v>
      </c>
      <c r="AX7" s="257">
        <v>102</v>
      </c>
      <c r="AY7" s="257">
        <v>44</v>
      </c>
      <c r="AZ7" s="257">
        <v>77</v>
      </c>
      <c r="BA7" s="269">
        <v>88</v>
      </c>
      <c r="BB7" s="257">
        <v>4</v>
      </c>
      <c r="BC7" s="257">
        <v>5</v>
      </c>
      <c r="BD7" s="266">
        <v>71</v>
      </c>
      <c r="BE7" s="257">
        <v>24</v>
      </c>
      <c r="BF7" s="257">
        <v>6</v>
      </c>
      <c r="BG7" s="257">
        <v>40</v>
      </c>
      <c r="BH7" s="257">
        <v>55</v>
      </c>
      <c r="BI7" s="257">
        <v>96</v>
      </c>
      <c r="BJ7" s="257">
        <v>70</v>
      </c>
      <c r="BK7" s="257">
        <v>100</v>
      </c>
      <c r="BL7" s="257">
        <v>101</v>
      </c>
      <c r="BM7" s="257">
        <v>10</v>
      </c>
      <c r="BN7" s="257">
        <v>107</v>
      </c>
      <c r="BO7" s="257">
        <v>117</v>
      </c>
      <c r="BP7" s="257">
        <v>3</v>
      </c>
      <c r="BQ7" s="257">
        <v>106</v>
      </c>
      <c r="BR7" s="257">
        <v>61</v>
      </c>
      <c r="BS7" s="257">
        <v>35</v>
      </c>
      <c r="BT7" s="263" t="s">
        <v>7997</v>
      </c>
    </row>
    <row r="8" spans="1:72">
      <c r="E8" s="276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8"/>
      <c r="T8" s="276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8"/>
      <c r="AL8" s="238"/>
      <c r="AN8" s="276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8"/>
      <c r="BD8" s="279"/>
      <c r="BE8" s="276"/>
      <c r="BF8" s="277"/>
      <c r="BG8" s="277"/>
      <c r="BH8" s="277"/>
      <c r="BI8" s="277"/>
      <c r="BJ8" s="277"/>
      <c r="BK8" s="277"/>
      <c r="BL8" s="277"/>
      <c r="BM8" s="277"/>
      <c r="BN8" s="277"/>
      <c r="BO8" s="277"/>
      <c r="BP8" s="277"/>
      <c r="BQ8" s="277"/>
      <c r="BR8" s="277"/>
      <c r="BS8" s="278"/>
    </row>
    <row r="9" spans="1:72" ht="13.5" thickBot="1">
      <c r="B9" s="280"/>
      <c r="C9" s="238" t="s">
        <v>7996</v>
      </c>
      <c r="D9" s="239" t="s">
        <v>7670</v>
      </c>
      <c r="E9" s="276">
        <v>2</v>
      </c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8"/>
      <c r="T9" s="276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8"/>
      <c r="AK9" s="280"/>
      <c r="AL9" s="238" t="s">
        <v>7996</v>
      </c>
      <c r="AM9" s="239" t="s">
        <v>7670</v>
      </c>
      <c r="AN9" s="276">
        <v>6</v>
      </c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8"/>
      <c r="BD9" s="279"/>
      <c r="BE9" s="276"/>
      <c r="BF9" s="277"/>
      <c r="BG9" s="277"/>
      <c r="BH9" s="277"/>
      <c r="BI9" s="277"/>
      <c r="BJ9" s="277"/>
      <c r="BK9" s="277"/>
      <c r="BL9" s="277"/>
      <c r="BM9" s="277"/>
      <c r="BN9" s="277"/>
      <c r="BO9" s="277"/>
      <c r="BP9" s="277"/>
      <c r="BQ9" s="277"/>
      <c r="BR9" s="277"/>
      <c r="BS9" s="278"/>
      <c r="BT9" s="280"/>
    </row>
    <row r="10" spans="1:72" ht="16.5" thickTop="1" thickBot="1">
      <c r="B10" s="256" t="s">
        <v>7997</v>
      </c>
      <c r="C10" s="268">
        <v>5</v>
      </c>
      <c r="D10" s="274" t="s">
        <v>7997</v>
      </c>
      <c r="E10" s="258">
        <v>75</v>
      </c>
      <c r="F10" s="257">
        <v>66</v>
      </c>
      <c r="G10" s="257">
        <v>52</v>
      </c>
      <c r="H10" s="257">
        <v>71</v>
      </c>
      <c r="I10" s="257">
        <v>102</v>
      </c>
      <c r="J10" s="257">
        <v>42</v>
      </c>
      <c r="K10" s="257">
        <v>13</v>
      </c>
      <c r="L10" s="257">
        <v>58</v>
      </c>
      <c r="M10" s="257">
        <v>40</v>
      </c>
      <c r="N10" s="257">
        <v>113</v>
      </c>
      <c r="O10" s="260">
        <v>79</v>
      </c>
      <c r="P10" s="257">
        <v>36</v>
      </c>
      <c r="Q10" s="261">
        <v>80</v>
      </c>
      <c r="R10" s="257">
        <v>11</v>
      </c>
      <c r="S10" s="257">
        <v>41</v>
      </c>
      <c r="T10" s="275">
        <v>125</v>
      </c>
      <c r="U10" s="257">
        <v>3</v>
      </c>
      <c r="V10" s="257">
        <v>31</v>
      </c>
      <c r="W10" s="257">
        <v>45</v>
      </c>
      <c r="X10" s="259">
        <v>124</v>
      </c>
      <c r="Y10" s="257">
        <v>48</v>
      </c>
      <c r="Z10" s="257">
        <v>4</v>
      </c>
      <c r="AA10" s="257">
        <v>110</v>
      </c>
      <c r="AB10" s="257">
        <v>49</v>
      </c>
      <c r="AC10" s="257">
        <v>82</v>
      </c>
      <c r="AD10" s="257">
        <v>67</v>
      </c>
      <c r="AE10" s="257">
        <v>97</v>
      </c>
      <c r="AF10" s="257">
        <v>37</v>
      </c>
      <c r="AG10" s="257">
        <v>100</v>
      </c>
      <c r="AH10" s="257">
        <v>98</v>
      </c>
      <c r="AI10" s="257">
        <v>27</v>
      </c>
      <c r="AJ10" s="257">
        <v>10</v>
      </c>
      <c r="AK10" s="263" t="s">
        <v>7997</v>
      </c>
      <c r="AL10" s="239">
        <v>5</v>
      </c>
      <c r="AM10" s="256" t="s">
        <v>7997</v>
      </c>
      <c r="AN10" s="257">
        <v>58</v>
      </c>
      <c r="AO10" s="257">
        <v>88</v>
      </c>
      <c r="AP10" s="257">
        <v>18</v>
      </c>
      <c r="AQ10" s="257">
        <v>3</v>
      </c>
      <c r="AR10" s="257">
        <v>117</v>
      </c>
      <c r="AS10" s="257">
        <v>9</v>
      </c>
      <c r="AT10" s="257">
        <v>99</v>
      </c>
      <c r="AU10" s="257">
        <v>111</v>
      </c>
      <c r="AV10" s="257">
        <v>91</v>
      </c>
      <c r="AW10" s="257">
        <v>76</v>
      </c>
      <c r="AX10" s="257">
        <v>93</v>
      </c>
      <c r="AY10" s="257">
        <v>90</v>
      </c>
      <c r="AZ10" s="257">
        <v>28</v>
      </c>
      <c r="BA10" s="257">
        <v>32</v>
      </c>
      <c r="BB10" s="257">
        <v>49</v>
      </c>
      <c r="BC10" s="257">
        <v>43</v>
      </c>
      <c r="BD10" s="266">
        <v>107</v>
      </c>
      <c r="BE10" s="257">
        <v>69</v>
      </c>
      <c r="BF10" s="273">
        <v>123</v>
      </c>
      <c r="BG10" s="272">
        <v>126</v>
      </c>
      <c r="BH10" s="257">
        <v>102</v>
      </c>
      <c r="BI10" s="257">
        <v>31</v>
      </c>
      <c r="BJ10" s="260">
        <v>104</v>
      </c>
      <c r="BK10" s="257">
        <v>105</v>
      </c>
      <c r="BL10" s="261">
        <v>54</v>
      </c>
      <c r="BM10" s="257">
        <v>36</v>
      </c>
      <c r="BN10" s="257">
        <v>112</v>
      </c>
      <c r="BO10" s="257">
        <v>94</v>
      </c>
      <c r="BP10" s="281" t="s">
        <v>8000</v>
      </c>
      <c r="BQ10" s="257">
        <v>64</v>
      </c>
      <c r="BR10" s="257">
        <v>63</v>
      </c>
      <c r="BS10" s="257">
        <v>86</v>
      </c>
      <c r="BT10" s="263" t="s">
        <v>7997</v>
      </c>
    </row>
    <row r="11" spans="1:72" ht="14.25" thickTop="1" thickBot="1">
      <c r="B11" s="254" t="s">
        <v>7997</v>
      </c>
      <c r="C11" s="239">
        <v>6</v>
      </c>
      <c r="D11" s="256" t="s">
        <v>7997</v>
      </c>
      <c r="E11" s="257">
        <v>56</v>
      </c>
      <c r="F11" s="261">
        <v>92</v>
      </c>
      <c r="G11" s="257">
        <v>96</v>
      </c>
      <c r="H11" s="257">
        <v>95</v>
      </c>
      <c r="I11" s="257">
        <v>50</v>
      </c>
      <c r="J11" s="257">
        <v>14</v>
      </c>
      <c r="K11" s="257">
        <v>74</v>
      </c>
      <c r="L11" s="257">
        <v>57</v>
      </c>
      <c r="M11" s="257">
        <v>89</v>
      </c>
      <c r="N11" s="258">
        <v>38</v>
      </c>
      <c r="O11" s="257">
        <v>54</v>
      </c>
      <c r="P11" s="269">
        <v>90</v>
      </c>
      <c r="Q11" s="257">
        <v>105</v>
      </c>
      <c r="R11" s="257">
        <v>24</v>
      </c>
      <c r="S11" s="257">
        <v>101</v>
      </c>
      <c r="T11" s="257">
        <v>117</v>
      </c>
      <c r="U11" s="257">
        <v>62</v>
      </c>
      <c r="V11" s="257">
        <v>83</v>
      </c>
      <c r="W11" s="257">
        <v>99</v>
      </c>
      <c r="X11" s="257">
        <v>33</v>
      </c>
      <c r="Y11" s="257">
        <v>63</v>
      </c>
      <c r="Z11" s="257">
        <v>59</v>
      </c>
      <c r="AA11" s="257">
        <v>12</v>
      </c>
      <c r="AB11" s="257">
        <v>6</v>
      </c>
      <c r="AC11" s="265">
        <v>121</v>
      </c>
      <c r="AD11" s="257">
        <v>19</v>
      </c>
      <c r="AE11" s="257">
        <v>39</v>
      </c>
      <c r="AF11" s="257">
        <v>93</v>
      </c>
      <c r="AG11" s="257">
        <v>91</v>
      </c>
      <c r="AH11" s="257">
        <v>29</v>
      </c>
      <c r="AI11" s="258">
        <v>60</v>
      </c>
      <c r="AJ11" s="257">
        <v>120</v>
      </c>
      <c r="AK11" s="263" t="s">
        <v>7997</v>
      </c>
      <c r="AL11" s="239">
        <v>6</v>
      </c>
      <c r="AM11" s="256" t="s">
        <v>7997</v>
      </c>
      <c r="AN11" s="267">
        <v>2</v>
      </c>
      <c r="AO11" s="257">
        <v>74</v>
      </c>
      <c r="AP11" s="257">
        <v>70</v>
      </c>
      <c r="AQ11" s="257">
        <v>106</v>
      </c>
      <c r="AR11" s="257">
        <v>4</v>
      </c>
      <c r="AS11" s="257">
        <v>27</v>
      </c>
      <c r="AT11" s="257">
        <v>73</v>
      </c>
      <c r="AU11" s="257">
        <v>53</v>
      </c>
      <c r="AV11" s="257">
        <v>96</v>
      </c>
      <c r="AW11" s="257">
        <v>114</v>
      </c>
      <c r="AX11" s="257">
        <v>75</v>
      </c>
      <c r="AY11" s="257">
        <v>39</v>
      </c>
      <c r="AZ11" s="257">
        <v>100</v>
      </c>
      <c r="BA11" s="257">
        <v>83</v>
      </c>
      <c r="BB11" s="258">
        <v>20</v>
      </c>
      <c r="BC11" s="257">
        <v>78</v>
      </c>
      <c r="BD11" s="266">
        <v>16</v>
      </c>
      <c r="BE11" s="257">
        <v>38</v>
      </c>
      <c r="BF11" s="257">
        <v>13</v>
      </c>
      <c r="BG11" s="257">
        <v>25</v>
      </c>
      <c r="BH11" s="257">
        <v>71</v>
      </c>
      <c r="BI11" s="257">
        <v>84</v>
      </c>
      <c r="BJ11" s="257">
        <v>113</v>
      </c>
      <c r="BK11" s="269">
        <v>57</v>
      </c>
      <c r="BL11" s="257">
        <v>33</v>
      </c>
      <c r="BM11" s="257">
        <v>110</v>
      </c>
      <c r="BN11" s="257">
        <v>26</v>
      </c>
      <c r="BO11" s="257">
        <v>41</v>
      </c>
      <c r="BP11" s="257">
        <v>115</v>
      </c>
      <c r="BQ11" s="257">
        <v>61</v>
      </c>
      <c r="BR11" s="257">
        <v>42</v>
      </c>
      <c r="BS11" s="257">
        <v>8</v>
      </c>
      <c r="BT11" s="263" t="s">
        <v>7997</v>
      </c>
    </row>
    <row r="12" spans="1:72" ht="14.25" thickTop="1" thickBot="1">
      <c r="B12" s="254" t="s">
        <v>7997</v>
      </c>
      <c r="C12" s="239">
        <v>7</v>
      </c>
      <c r="D12" s="256" t="s">
        <v>7997</v>
      </c>
      <c r="E12" s="269">
        <v>16</v>
      </c>
      <c r="F12" s="273">
        <v>123</v>
      </c>
      <c r="G12" s="257">
        <v>106</v>
      </c>
      <c r="H12" s="257">
        <v>51</v>
      </c>
      <c r="I12" s="257">
        <v>5</v>
      </c>
      <c r="J12" s="257">
        <v>107</v>
      </c>
      <c r="K12" s="257">
        <v>78</v>
      </c>
      <c r="L12" s="257">
        <v>103</v>
      </c>
      <c r="M12" s="260">
        <v>61</v>
      </c>
      <c r="N12" s="264">
        <v>128</v>
      </c>
      <c r="O12" s="261">
        <v>20</v>
      </c>
      <c r="P12" s="281" t="s">
        <v>8000</v>
      </c>
      <c r="Q12" s="257">
        <v>30</v>
      </c>
      <c r="R12" s="257">
        <v>87</v>
      </c>
      <c r="S12" s="257">
        <v>26</v>
      </c>
      <c r="T12" s="257">
        <v>116</v>
      </c>
      <c r="U12" s="257">
        <v>88</v>
      </c>
      <c r="V12" s="257">
        <v>115</v>
      </c>
      <c r="W12" s="257">
        <v>34</v>
      </c>
      <c r="X12" s="257">
        <v>119</v>
      </c>
      <c r="Y12" s="257">
        <v>43</v>
      </c>
      <c r="Z12" s="257">
        <v>8</v>
      </c>
      <c r="AA12" s="257">
        <v>109</v>
      </c>
      <c r="AB12" s="257">
        <v>25</v>
      </c>
      <c r="AC12" s="267">
        <v>2</v>
      </c>
      <c r="AD12" s="257">
        <v>35</v>
      </c>
      <c r="AE12" s="257">
        <v>114</v>
      </c>
      <c r="AF12" s="257">
        <v>28</v>
      </c>
      <c r="AG12" s="257">
        <v>70</v>
      </c>
      <c r="AH12" s="260">
        <v>23</v>
      </c>
      <c r="AI12" s="264">
        <v>127</v>
      </c>
      <c r="AJ12" s="261">
        <v>53</v>
      </c>
      <c r="AK12" s="263" t="s">
        <v>7997</v>
      </c>
      <c r="AL12" s="239">
        <v>7</v>
      </c>
      <c r="AM12" s="256" t="s">
        <v>7997</v>
      </c>
      <c r="AN12" s="257">
        <v>7</v>
      </c>
      <c r="AO12" s="257">
        <v>6</v>
      </c>
      <c r="AP12" s="257">
        <v>11</v>
      </c>
      <c r="AQ12" s="257">
        <v>23</v>
      </c>
      <c r="AR12" s="265">
        <v>121</v>
      </c>
      <c r="AS12" s="258">
        <v>5</v>
      </c>
      <c r="AT12" s="257">
        <v>12</v>
      </c>
      <c r="AU12" s="257">
        <v>29</v>
      </c>
      <c r="AV12" s="257">
        <v>59</v>
      </c>
      <c r="AW12" s="257">
        <v>15</v>
      </c>
      <c r="AX12" s="257">
        <v>65</v>
      </c>
      <c r="AY12" s="257">
        <v>52</v>
      </c>
      <c r="AZ12" s="257">
        <v>24</v>
      </c>
      <c r="BA12" s="260">
        <v>118</v>
      </c>
      <c r="BB12" s="264">
        <v>127</v>
      </c>
      <c r="BC12" s="261">
        <v>46</v>
      </c>
      <c r="BD12" s="282">
        <v>19</v>
      </c>
      <c r="BE12" s="257">
        <v>44</v>
      </c>
      <c r="BF12" s="257">
        <v>10</v>
      </c>
      <c r="BG12" s="257">
        <v>101</v>
      </c>
      <c r="BH12" s="257">
        <v>45</v>
      </c>
      <c r="BI12" s="257">
        <v>120</v>
      </c>
      <c r="BJ12" s="257">
        <v>89</v>
      </c>
      <c r="BK12" s="257">
        <v>82</v>
      </c>
      <c r="BL12" s="257">
        <v>77</v>
      </c>
      <c r="BM12" s="257">
        <v>55</v>
      </c>
      <c r="BN12" s="257">
        <v>34</v>
      </c>
      <c r="BO12" s="257">
        <v>95</v>
      </c>
      <c r="BP12" s="257">
        <v>35</v>
      </c>
      <c r="BQ12" s="257">
        <v>108</v>
      </c>
      <c r="BR12" s="259">
        <v>124</v>
      </c>
      <c r="BS12" s="257">
        <v>68</v>
      </c>
      <c r="BT12" s="263" t="s">
        <v>7997</v>
      </c>
    </row>
    <row r="13" spans="1:72" ht="14.25" thickTop="1" thickBot="1">
      <c r="B13" s="254" t="s">
        <v>7997</v>
      </c>
      <c r="C13" s="239">
        <v>8</v>
      </c>
      <c r="D13" s="256" t="s">
        <v>7997</v>
      </c>
      <c r="E13" s="257">
        <v>111</v>
      </c>
      <c r="F13" s="272">
        <v>126</v>
      </c>
      <c r="G13" s="257">
        <v>76</v>
      </c>
      <c r="H13" s="257">
        <v>55</v>
      </c>
      <c r="I13" s="257">
        <v>15</v>
      </c>
      <c r="J13" s="257">
        <v>108</v>
      </c>
      <c r="K13" s="257">
        <v>7</v>
      </c>
      <c r="L13" s="257">
        <v>18</v>
      </c>
      <c r="M13" s="257">
        <v>47</v>
      </c>
      <c r="N13" s="269">
        <v>32</v>
      </c>
      <c r="O13" s="257">
        <v>85</v>
      </c>
      <c r="P13" s="257">
        <v>81</v>
      </c>
      <c r="Q13" s="262">
        <v>1</v>
      </c>
      <c r="R13" s="257">
        <v>104</v>
      </c>
      <c r="S13" s="257">
        <v>73</v>
      </c>
      <c r="T13" s="257">
        <v>94</v>
      </c>
      <c r="U13" s="257">
        <v>118</v>
      </c>
      <c r="V13" s="257">
        <v>69</v>
      </c>
      <c r="W13" s="257">
        <v>72</v>
      </c>
      <c r="X13" s="257">
        <v>112</v>
      </c>
      <c r="Y13" s="257">
        <v>44</v>
      </c>
      <c r="Z13" s="257">
        <v>9</v>
      </c>
      <c r="AA13" s="257">
        <v>46</v>
      </c>
      <c r="AB13" s="257">
        <v>77</v>
      </c>
      <c r="AC13" s="257">
        <v>22</v>
      </c>
      <c r="AD13" s="257">
        <v>84</v>
      </c>
      <c r="AE13" s="257">
        <v>64</v>
      </c>
      <c r="AF13" s="257">
        <v>17</v>
      </c>
      <c r="AG13" s="257">
        <v>21</v>
      </c>
      <c r="AH13" s="257">
        <v>68</v>
      </c>
      <c r="AI13" s="269">
        <v>86</v>
      </c>
      <c r="AJ13" s="257">
        <v>65</v>
      </c>
      <c r="AK13" s="263" t="s">
        <v>7997</v>
      </c>
      <c r="AL13" s="239">
        <v>8</v>
      </c>
      <c r="AM13" s="256" t="s">
        <v>7997</v>
      </c>
      <c r="AN13" s="257">
        <v>66</v>
      </c>
      <c r="AO13" s="257">
        <v>22</v>
      </c>
      <c r="AP13" s="262">
        <v>1</v>
      </c>
      <c r="AQ13" s="257">
        <v>92</v>
      </c>
      <c r="AR13" s="260">
        <v>56</v>
      </c>
      <c r="AS13" s="264">
        <v>128</v>
      </c>
      <c r="AT13" s="261">
        <v>103</v>
      </c>
      <c r="AU13" s="257">
        <v>119</v>
      </c>
      <c r="AV13" s="257">
        <v>81</v>
      </c>
      <c r="AW13" s="257">
        <v>87</v>
      </c>
      <c r="AX13" s="257">
        <v>97</v>
      </c>
      <c r="AY13" s="257">
        <v>67</v>
      </c>
      <c r="AZ13" s="257">
        <v>62</v>
      </c>
      <c r="BA13" s="257">
        <v>21</v>
      </c>
      <c r="BB13" s="269">
        <v>17</v>
      </c>
      <c r="BC13" s="257">
        <v>37</v>
      </c>
      <c r="BD13" s="266">
        <v>85</v>
      </c>
      <c r="BE13" s="257">
        <v>47</v>
      </c>
      <c r="BF13" s="257">
        <v>51</v>
      </c>
      <c r="BG13" s="257">
        <v>80</v>
      </c>
      <c r="BH13" s="257">
        <v>60</v>
      </c>
      <c r="BI13" s="257">
        <v>72</v>
      </c>
      <c r="BJ13" s="257">
        <v>30</v>
      </c>
      <c r="BK13" s="257">
        <v>109</v>
      </c>
      <c r="BL13" s="257">
        <v>50</v>
      </c>
      <c r="BM13" s="257">
        <v>14</v>
      </c>
      <c r="BN13" s="257">
        <v>40</v>
      </c>
      <c r="BO13" s="275">
        <v>125</v>
      </c>
      <c r="BP13" s="257">
        <v>48</v>
      </c>
      <c r="BQ13" s="257">
        <v>98</v>
      </c>
      <c r="BR13" s="257">
        <v>116</v>
      </c>
      <c r="BS13" s="257">
        <v>79</v>
      </c>
      <c r="BT13" s="263" t="s">
        <v>7997</v>
      </c>
    </row>
    <row r="14" spans="1:72" ht="13.5" thickTop="1">
      <c r="C14" s="239"/>
      <c r="E14" s="276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8"/>
      <c r="T14" s="276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8"/>
      <c r="AN14" s="276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8"/>
      <c r="BD14" s="279"/>
      <c r="BE14" s="276"/>
      <c r="BF14" s="277"/>
      <c r="BG14" s="277"/>
      <c r="BH14" s="277"/>
      <c r="BI14" s="277"/>
      <c r="BJ14" s="277"/>
      <c r="BK14" s="277"/>
      <c r="BL14" s="277"/>
      <c r="BM14" s="277"/>
      <c r="BN14" s="277"/>
      <c r="BO14" s="277"/>
      <c r="BP14" s="277"/>
      <c r="BQ14" s="277"/>
      <c r="BR14" s="277"/>
      <c r="BS14" s="278"/>
    </row>
    <row r="15" spans="1:72" ht="13.5" thickBot="1">
      <c r="C15" s="238" t="s">
        <v>7996</v>
      </c>
      <c r="D15" s="239" t="s">
        <v>7670</v>
      </c>
      <c r="E15" s="276">
        <v>3</v>
      </c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8"/>
      <c r="T15" s="276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8"/>
      <c r="AL15" s="238" t="s">
        <v>7996</v>
      </c>
      <c r="AM15" s="239" t="s">
        <v>7670</v>
      </c>
      <c r="AN15" s="276">
        <v>7</v>
      </c>
      <c r="AO15" s="277"/>
      <c r="AP15" s="277"/>
      <c r="AQ15" s="277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8"/>
      <c r="BD15" s="279"/>
      <c r="BE15" s="276"/>
      <c r="BF15" s="277"/>
      <c r="BG15" s="277"/>
      <c r="BH15" s="277"/>
      <c r="BI15" s="277"/>
      <c r="BJ15" s="277"/>
      <c r="BK15" s="277"/>
      <c r="BL15" s="277"/>
      <c r="BM15" s="277"/>
      <c r="BN15" s="277"/>
      <c r="BO15" s="277"/>
      <c r="BP15" s="277"/>
      <c r="BQ15" s="277"/>
      <c r="BR15" s="277"/>
      <c r="BS15" s="278"/>
    </row>
    <row r="16" spans="1:72" ht="14.25" thickTop="1" thickBot="1">
      <c r="B16" s="254" t="s">
        <v>7997</v>
      </c>
      <c r="C16" s="239">
        <v>9</v>
      </c>
      <c r="D16" s="256" t="s">
        <v>7997</v>
      </c>
      <c r="E16" s="257">
        <v>47</v>
      </c>
      <c r="F16" s="257">
        <v>108</v>
      </c>
      <c r="G16" s="257">
        <v>41</v>
      </c>
      <c r="H16" s="257">
        <v>92</v>
      </c>
      <c r="I16" s="257">
        <v>36</v>
      </c>
      <c r="J16" s="257">
        <v>12</v>
      </c>
      <c r="K16" s="257">
        <v>79</v>
      </c>
      <c r="L16" s="257">
        <v>31</v>
      </c>
      <c r="M16" s="257">
        <v>60</v>
      </c>
      <c r="N16" s="257">
        <v>102</v>
      </c>
      <c r="O16" s="257">
        <v>99</v>
      </c>
      <c r="P16" s="257">
        <v>119</v>
      </c>
      <c r="Q16" s="257">
        <v>8</v>
      </c>
      <c r="R16" s="260">
        <v>33</v>
      </c>
      <c r="S16" s="257">
        <v>82</v>
      </c>
      <c r="T16" s="260">
        <v>64</v>
      </c>
      <c r="U16" s="264">
        <v>128</v>
      </c>
      <c r="V16" s="261">
        <v>93</v>
      </c>
      <c r="W16" s="257">
        <v>44</v>
      </c>
      <c r="X16" s="257">
        <v>32</v>
      </c>
      <c r="Y16" s="257">
        <v>57</v>
      </c>
      <c r="Z16" s="257">
        <v>38</v>
      </c>
      <c r="AA16" s="257">
        <v>116</v>
      </c>
      <c r="AB16" s="257">
        <v>17</v>
      </c>
      <c r="AC16" s="257" t="s">
        <v>7998</v>
      </c>
      <c r="AD16" s="257">
        <v>120</v>
      </c>
      <c r="AE16" s="257">
        <v>91</v>
      </c>
      <c r="AF16" s="257">
        <v>43</v>
      </c>
      <c r="AG16" s="257">
        <v>76</v>
      </c>
      <c r="AH16" s="257">
        <v>14</v>
      </c>
      <c r="AI16" s="257">
        <v>28</v>
      </c>
      <c r="AJ16" s="257">
        <v>109</v>
      </c>
      <c r="AK16" s="263" t="s">
        <v>7997</v>
      </c>
      <c r="AL16" s="239">
        <v>9</v>
      </c>
      <c r="AM16" s="256" t="s">
        <v>7997</v>
      </c>
      <c r="AN16" s="257">
        <v>37</v>
      </c>
      <c r="AO16" s="257">
        <v>51</v>
      </c>
      <c r="AP16" s="257">
        <v>26</v>
      </c>
      <c r="AQ16" s="257">
        <v>99</v>
      </c>
      <c r="AR16" s="257">
        <v>95</v>
      </c>
      <c r="AS16" s="257">
        <v>34</v>
      </c>
      <c r="AT16" s="257">
        <v>83</v>
      </c>
      <c r="AU16" s="257">
        <v>74</v>
      </c>
      <c r="AV16" s="258">
        <v>6</v>
      </c>
      <c r="AW16" s="257">
        <v>9</v>
      </c>
      <c r="AX16" s="257">
        <v>66</v>
      </c>
      <c r="AY16" s="257">
        <v>42</v>
      </c>
      <c r="AZ16" s="257">
        <v>113</v>
      </c>
      <c r="BA16" s="272">
        <v>126</v>
      </c>
      <c r="BB16" s="257">
        <v>29</v>
      </c>
      <c r="BC16" s="257">
        <v>39</v>
      </c>
      <c r="BD16" s="266">
        <v>106</v>
      </c>
      <c r="BE16" s="257">
        <v>8</v>
      </c>
      <c r="BF16" s="257">
        <v>24</v>
      </c>
      <c r="BG16" s="257">
        <v>94</v>
      </c>
      <c r="BH16" s="257">
        <v>49</v>
      </c>
      <c r="BI16" s="257">
        <v>78</v>
      </c>
      <c r="BJ16" s="257">
        <v>96</v>
      </c>
      <c r="BK16" s="257">
        <v>45</v>
      </c>
      <c r="BL16" s="262">
        <v>1</v>
      </c>
      <c r="BM16" s="265">
        <v>121</v>
      </c>
      <c r="BN16" s="257">
        <v>76</v>
      </c>
      <c r="BO16" s="257">
        <v>31</v>
      </c>
      <c r="BP16" s="257">
        <v>44</v>
      </c>
      <c r="BQ16" s="257">
        <v>15</v>
      </c>
      <c r="BR16" s="258">
        <v>77</v>
      </c>
      <c r="BS16" s="257">
        <v>50</v>
      </c>
      <c r="BT16" s="263" t="s">
        <v>7997</v>
      </c>
    </row>
    <row r="17" spans="2:72" ht="14.25" thickTop="1" thickBot="1">
      <c r="B17" s="254" t="s">
        <v>7997</v>
      </c>
      <c r="C17" s="239">
        <v>10</v>
      </c>
      <c r="D17" s="256" t="s">
        <v>7997</v>
      </c>
      <c r="E17" s="262">
        <v>1</v>
      </c>
      <c r="F17" s="257">
        <v>68</v>
      </c>
      <c r="G17" s="257">
        <v>80</v>
      </c>
      <c r="H17" s="257">
        <v>107</v>
      </c>
      <c r="I17" s="257">
        <v>78</v>
      </c>
      <c r="J17" s="257">
        <v>55</v>
      </c>
      <c r="K17" s="257">
        <v>106</v>
      </c>
      <c r="L17" s="257">
        <v>52</v>
      </c>
      <c r="M17" s="257">
        <v>9</v>
      </c>
      <c r="N17" s="257">
        <v>83</v>
      </c>
      <c r="O17" s="257">
        <v>16</v>
      </c>
      <c r="P17" s="259">
        <v>124</v>
      </c>
      <c r="Q17" s="257">
        <v>3</v>
      </c>
      <c r="R17" s="257">
        <v>73</v>
      </c>
      <c r="S17" s="269">
        <v>13</v>
      </c>
      <c r="T17" s="257">
        <v>113</v>
      </c>
      <c r="U17" s="269">
        <v>59</v>
      </c>
      <c r="V17" s="257">
        <v>6</v>
      </c>
      <c r="W17" s="258">
        <v>111</v>
      </c>
      <c r="X17" s="265">
        <v>121</v>
      </c>
      <c r="Y17" s="257">
        <v>10</v>
      </c>
      <c r="Z17" s="257">
        <v>101</v>
      </c>
      <c r="AA17" s="257">
        <v>112</v>
      </c>
      <c r="AB17" s="257">
        <v>105</v>
      </c>
      <c r="AC17" s="257">
        <v>94</v>
      </c>
      <c r="AD17" s="257">
        <v>37</v>
      </c>
      <c r="AE17" s="272">
        <v>126</v>
      </c>
      <c r="AF17" s="257">
        <v>58</v>
      </c>
      <c r="AG17" s="257">
        <v>67</v>
      </c>
      <c r="AH17" s="257">
        <v>30</v>
      </c>
      <c r="AI17" s="257">
        <v>72</v>
      </c>
      <c r="AJ17" s="257">
        <v>71</v>
      </c>
      <c r="AK17" s="263" t="s">
        <v>7997</v>
      </c>
      <c r="AL17" s="239">
        <v>10</v>
      </c>
      <c r="AM17" s="256" t="s">
        <v>7997</v>
      </c>
      <c r="AN17" s="257">
        <v>63</v>
      </c>
      <c r="AO17" s="257">
        <v>28</v>
      </c>
      <c r="AP17" s="257">
        <v>47</v>
      </c>
      <c r="AQ17" s="273">
        <v>123</v>
      </c>
      <c r="AR17" s="257">
        <v>32</v>
      </c>
      <c r="AS17" s="257">
        <v>67</v>
      </c>
      <c r="AT17" s="257">
        <v>101</v>
      </c>
      <c r="AU17" s="260">
        <v>85</v>
      </c>
      <c r="AV17" s="257">
        <v>23</v>
      </c>
      <c r="AW17" s="261">
        <v>41</v>
      </c>
      <c r="AX17" s="257">
        <v>120</v>
      </c>
      <c r="AY17" s="258">
        <v>33</v>
      </c>
      <c r="AZ17" s="257">
        <v>114</v>
      </c>
      <c r="BA17" s="257">
        <v>81</v>
      </c>
      <c r="BB17" s="257">
        <v>100</v>
      </c>
      <c r="BC17" s="257">
        <v>98</v>
      </c>
      <c r="BD17" s="266">
        <v>64</v>
      </c>
      <c r="BE17" s="257">
        <v>61</v>
      </c>
      <c r="BF17" s="257">
        <v>18</v>
      </c>
      <c r="BG17" s="257">
        <v>109</v>
      </c>
      <c r="BH17" s="257">
        <v>40</v>
      </c>
      <c r="BI17" s="257">
        <v>22</v>
      </c>
      <c r="BJ17" s="257">
        <v>117</v>
      </c>
      <c r="BK17" s="257">
        <v>62</v>
      </c>
      <c r="BL17" s="257">
        <v>65</v>
      </c>
      <c r="BM17" s="257">
        <v>17</v>
      </c>
      <c r="BN17" s="257">
        <v>38</v>
      </c>
      <c r="BO17" s="258">
        <v>87</v>
      </c>
      <c r="BP17" s="257">
        <v>59</v>
      </c>
      <c r="BQ17" s="260">
        <v>82</v>
      </c>
      <c r="BR17" s="264">
        <v>127</v>
      </c>
      <c r="BS17" s="261">
        <v>30</v>
      </c>
      <c r="BT17" s="263" t="s">
        <v>7997</v>
      </c>
    </row>
    <row r="18" spans="2:72" ht="16.5" thickTop="1" thickBot="1">
      <c r="B18" s="256" t="s">
        <v>7997</v>
      </c>
      <c r="C18" s="268">
        <v>11</v>
      </c>
      <c r="D18" s="274" t="s">
        <v>7997</v>
      </c>
      <c r="E18" s="257">
        <v>39</v>
      </c>
      <c r="F18" s="257">
        <v>19</v>
      </c>
      <c r="G18" s="257">
        <v>84</v>
      </c>
      <c r="H18" s="257">
        <v>11</v>
      </c>
      <c r="I18" s="257">
        <v>21</v>
      </c>
      <c r="J18" s="257">
        <v>49</v>
      </c>
      <c r="K18" s="258">
        <v>56</v>
      </c>
      <c r="L18" s="257">
        <v>86</v>
      </c>
      <c r="M18" s="257">
        <v>77</v>
      </c>
      <c r="N18" s="257">
        <v>100</v>
      </c>
      <c r="O18" s="257">
        <v>74</v>
      </c>
      <c r="P18" s="257">
        <v>70</v>
      </c>
      <c r="Q18" s="257">
        <v>18</v>
      </c>
      <c r="R18" s="257">
        <v>40</v>
      </c>
      <c r="S18" s="257">
        <v>88</v>
      </c>
      <c r="T18" s="257">
        <v>66</v>
      </c>
      <c r="U18" s="257">
        <v>48</v>
      </c>
      <c r="V18" s="260">
        <v>45</v>
      </c>
      <c r="W18" s="257">
        <v>22</v>
      </c>
      <c r="X18" s="273">
        <v>123</v>
      </c>
      <c r="Y18" s="257">
        <v>35</v>
      </c>
      <c r="Z18" s="257">
        <v>61</v>
      </c>
      <c r="AA18" s="257">
        <v>81</v>
      </c>
      <c r="AB18" s="257">
        <v>51</v>
      </c>
      <c r="AC18" s="257">
        <v>20</v>
      </c>
      <c r="AD18" s="257">
        <v>85</v>
      </c>
      <c r="AE18" s="257">
        <v>23</v>
      </c>
      <c r="AF18" s="257">
        <v>118</v>
      </c>
      <c r="AG18" s="257">
        <v>27</v>
      </c>
      <c r="AH18" s="257">
        <v>117</v>
      </c>
      <c r="AI18" s="257">
        <v>103</v>
      </c>
      <c r="AJ18" s="257">
        <v>75</v>
      </c>
      <c r="AK18" s="263" t="s">
        <v>7997</v>
      </c>
      <c r="AL18" s="239">
        <v>11</v>
      </c>
      <c r="AM18" s="256" t="s">
        <v>7997</v>
      </c>
      <c r="AN18" s="257">
        <v>35</v>
      </c>
      <c r="AO18" s="257">
        <v>104</v>
      </c>
      <c r="AP18" s="257">
        <v>119</v>
      </c>
      <c r="AQ18" s="257">
        <v>48</v>
      </c>
      <c r="AR18" s="257">
        <v>86</v>
      </c>
      <c r="AS18" s="257">
        <v>118</v>
      </c>
      <c r="AT18" s="257">
        <v>11</v>
      </c>
      <c r="AU18" s="257">
        <v>27</v>
      </c>
      <c r="AV18" s="269">
        <v>84</v>
      </c>
      <c r="AW18" s="257">
        <v>70</v>
      </c>
      <c r="AX18" s="260">
        <v>91</v>
      </c>
      <c r="AY18" s="264">
        <v>128</v>
      </c>
      <c r="AZ18" s="261">
        <v>46</v>
      </c>
      <c r="BA18" s="257">
        <v>97</v>
      </c>
      <c r="BB18" s="257">
        <v>93</v>
      </c>
      <c r="BC18" s="257">
        <v>75</v>
      </c>
      <c r="BD18" s="266">
        <v>4</v>
      </c>
      <c r="BE18" s="257">
        <v>5</v>
      </c>
      <c r="BF18" s="257">
        <v>52</v>
      </c>
      <c r="BG18" s="259">
        <v>124</v>
      </c>
      <c r="BH18" s="257">
        <v>3</v>
      </c>
      <c r="BI18" s="257">
        <v>54</v>
      </c>
      <c r="BJ18" s="257">
        <v>58</v>
      </c>
      <c r="BK18" s="257">
        <v>10</v>
      </c>
      <c r="BL18" s="257">
        <v>102</v>
      </c>
      <c r="BM18" s="257">
        <v>68</v>
      </c>
      <c r="BN18" s="260">
        <v>89</v>
      </c>
      <c r="BO18" s="257">
        <v>19</v>
      </c>
      <c r="BP18" s="261">
        <v>16</v>
      </c>
      <c r="BQ18" s="257">
        <v>107</v>
      </c>
      <c r="BR18" s="269">
        <v>12</v>
      </c>
      <c r="BS18" s="257">
        <v>110</v>
      </c>
      <c r="BT18" s="263" t="s">
        <v>7997</v>
      </c>
    </row>
    <row r="19" spans="2:72" ht="14.25" thickTop="1" thickBot="1">
      <c r="B19" s="254" t="s">
        <v>7997</v>
      </c>
      <c r="C19" s="239">
        <v>12</v>
      </c>
      <c r="D19" s="256" t="s">
        <v>7997</v>
      </c>
      <c r="E19" s="257">
        <v>7</v>
      </c>
      <c r="F19" s="257">
        <v>15</v>
      </c>
      <c r="G19" s="257">
        <v>97</v>
      </c>
      <c r="H19" s="257">
        <v>90</v>
      </c>
      <c r="I19" s="257">
        <v>96</v>
      </c>
      <c r="J19" s="260">
        <v>24</v>
      </c>
      <c r="K19" s="264">
        <v>127</v>
      </c>
      <c r="L19" s="261">
        <v>114</v>
      </c>
      <c r="M19" s="257">
        <v>62</v>
      </c>
      <c r="N19" s="257">
        <v>110</v>
      </c>
      <c r="O19" s="257">
        <v>42</v>
      </c>
      <c r="P19" s="257">
        <v>87</v>
      </c>
      <c r="Q19" s="257">
        <v>50</v>
      </c>
      <c r="R19" s="257">
        <v>63</v>
      </c>
      <c r="S19" s="257">
        <v>4</v>
      </c>
      <c r="T19" s="257">
        <v>25</v>
      </c>
      <c r="U19" s="257">
        <v>34</v>
      </c>
      <c r="V19" s="257">
        <v>95</v>
      </c>
      <c r="W19" s="269">
        <v>29</v>
      </c>
      <c r="X19" s="257">
        <v>65</v>
      </c>
      <c r="Y19" s="267">
        <v>2</v>
      </c>
      <c r="Z19" s="257">
        <v>54</v>
      </c>
      <c r="AA19" s="257">
        <v>104</v>
      </c>
      <c r="AB19" s="257">
        <v>89</v>
      </c>
      <c r="AC19" s="257">
        <v>98</v>
      </c>
      <c r="AD19" s="257">
        <v>26</v>
      </c>
      <c r="AE19" s="257">
        <v>115</v>
      </c>
      <c r="AF19" s="257">
        <v>69</v>
      </c>
      <c r="AG19" s="257">
        <v>53</v>
      </c>
      <c r="AH19" s="257">
        <v>46</v>
      </c>
      <c r="AI19" s="275">
        <v>125</v>
      </c>
      <c r="AJ19" s="257">
        <v>5</v>
      </c>
      <c r="AK19" s="263" t="s">
        <v>7997</v>
      </c>
      <c r="AL19" s="239">
        <v>12</v>
      </c>
      <c r="AM19" s="256" t="s">
        <v>7997</v>
      </c>
      <c r="AN19" s="257">
        <v>105</v>
      </c>
      <c r="AO19" s="257">
        <v>20</v>
      </c>
      <c r="AP19" s="257">
        <v>108</v>
      </c>
      <c r="AQ19" s="257">
        <v>21</v>
      </c>
      <c r="AR19" s="257">
        <v>115</v>
      </c>
      <c r="AS19" s="275">
        <v>125</v>
      </c>
      <c r="AT19" s="257">
        <v>112</v>
      </c>
      <c r="AU19" s="257">
        <v>55</v>
      </c>
      <c r="AV19" s="257">
        <v>13</v>
      </c>
      <c r="AW19" s="257">
        <v>25</v>
      </c>
      <c r="AX19" s="257">
        <v>43</v>
      </c>
      <c r="AY19" s="269">
        <v>88</v>
      </c>
      <c r="AZ19" s="257">
        <v>53</v>
      </c>
      <c r="BA19" s="257">
        <v>73</v>
      </c>
      <c r="BB19" s="257">
        <v>14</v>
      </c>
      <c r="BC19" s="257">
        <v>72</v>
      </c>
      <c r="BD19" s="266">
        <v>111</v>
      </c>
      <c r="BE19" s="257">
        <v>92</v>
      </c>
      <c r="BF19" s="257">
        <v>103</v>
      </c>
      <c r="BG19" s="257" t="s">
        <v>7998</v>
      </c>
      <c r="BH19" s="257">
        <v>36</v>
      </c>
      <c r="BI19" s="257">
        <v>116</v>
      </c>
      <c r="BJ19" s="267">
        <v>2</v>
      </c>
      <c r="BK19" s="257">
        <v>80</v>
      </c>
      <c r="BL19" s="257">
        <v>79</v>
      </c>
      <c r="BM19" s="257">
        <v>7</v>
      </c>
      <c r="BN19" s="257">
        <v>56</v>
      </c>
      <c r="BO19" s="269">
        <v>60</v>
      </c>
      <c r="BP19" s="257">
        <v>90</v>
      </c>
      <c r="BQ19" s="257">
        <v>69</v>
      </c>
      <c r="BR19" s="257">
        <v>71</v>
      </c>
      <c r="BS19" s="257">
        <v>57</v>
      </c>
      <c r="BT19" s="263" t="s">
        <v>7997</v>
      </c>
    </row>
    <row r="20" spans="2:72" ht="13.5" thickTop="1">
      <c r="C20" s="239"/>
      <c r="D20" s="239"/>
      <c r="E20" s="276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8"/>
      <c r="T20" s="276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8"/>
      <c r="AM20" s="239"/>
      <c r="AN20" s="276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8"/>
      <c r="BD20" s="279"/>
      <c r="BE20" s="276"/>
      <c r="BF20" s="277"/>
      <c r="BG20" s="277"/>
      <c r="BH20" s="277"/>
      <c r="BI20" s="277"/>
      <c r="BJ20" s="277"/>
      <c r="BK20" s="277"/>
      <c r="BL20" s="277"/>
      <c r="BM20" s="277"/>
      <c r="BN20" s="277"/>
      <c r="BO20" s="277"/>
      <c r="BP20" s="277"/>
      <c r="BQ20" s="277"/>
      <c r="BR20" s="277"/>
      <c r="BS20" s="278"/>
    </row>
    <row r="21" spans="2:72" ht="13.5" thickBot="1">
      <c r="C21" s="238" t="s">
        <v>7996</v>
      </c>
      <c r="D21" s="239" t="s">
        <v>7670</v>
      </c>
      <c r="E21" s="276">
        <v>4</v>
      </c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8"/>
      <c r="T21" s="276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8"/>
      <c r="AL21" s="238" t="s">
        <v>7996</v>
      </c>
      <c r="AM21" s="239" t="s">
        <v>7670</v>
      </c>
      <c r="AN21" s="276">
        <v>8</v>
      </c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8"/>
      <c r="BD21" s="279"/>
      <c r="BE21" s="276"/>
      <c r="BF21" s="277"/>
      <c r="BG21" s="277"/>
      <c r="BH21" s="277"/>
      <c r="BI21" s="277"/>
      <c r="BJ21" s="277"/>
      <c r="BK21" s="277"/>
      <c r="BL21" s="277"/>
      <c r="BM21" s="277"/>
      <c r="BN21" s="277"/>
      <c r="BO21" s="277"/>
      <c r="BP21" s="277"/>
      <c r="BQ21" s="277"/>
      <c r="BR21" s="277"/>
      <c r="BS21" s="278"/>
    </row>
    <row r="22" spans="2:72" ht="14.25" thickTop="1" thickBot="1">
      <c r="B22" s="254" t="s">
        <v>7997</v>
      </c>
      <c r="C22" s="239">
        <v>13</v>
      </c>
      <c r="D22" s="256" t="s">
        <v>7997</v>
      </c>
      <c r="E22" s="257">
        <v>12</v>
      </c>
      <c r="F22" s="257">
        <v>57</v>
      </c>
      <c r="G22" s="275">
        <v>125</v>
      </c>
      <c r="H22" s="257">
        <v>115</v>
      </c>
      <c r="I22" s="257">
        <v>79</v>
      </c>
      <c r="J22" s="257">
        <v>3</v>
      </c>
      <c r="K22" s="257">
        <v>119</v>
      </c>
      <c r="L22" s="258">
        <v>22</v>
      </c>
      <c r="M22" s="257">
        <v>23</v>
      </c>
      <c r="N22" s="257">
        <v>65</v>
      </c>
      <c r="O22" s="257">
        <v>49</v>
      </c>
      <c r="P22" s="257">
        <v>78</v>
      </c>
      <c r="Q22" s="260">
        <v>109</v>
      </c>
      <c r="R22" s="264">
        <v>128</v>
      </c>
      <c r="S22" s="261">
        <v>74</v>
      </c>
      <c r="T22" s="257">
        <v>38</v>
      </c>
      <c r="U22" s="257">
        <v>107</v>
      </c>
      <c r="V22" s="257">
        <v>44</v>
      </c>
      <c r="W22" s="257">
        <v>20</v>
      </c>
      <c r="X22" s="257">
        <v>7</v>
      </c>
      <c r="Y22" s="257">
        <v>77</v>
      </c>
      <c r="Z22" s="257">
        <v>113</v>
      </c>
      <c r="AA22" s="257">
        <v>54</v>
      </c>
      <c r="AB22" s="257">
        <v>53</v>
      </c>
      <c r="AC22" s="257">
        <v>116</v>
      </c>
      <c r="AD22" s="257">
        <v>70</v>
      </c>
      <c r="AE22" s="257">
        <v>68</v>
      </c>
      <c r="AF22" s="257">
        <v>111</v>
      </c>
      <c r="AG22" s="257">
        <v>90</v>
      </c>
      <c r="AH22" s="257">
        <v>42</v>
      </c>
      <c r="AI22" s="257">
        <v>100</v>
      </c>
      <c r="AJ22" s="257">
        <v>34</v>
      </c>
      <c r="AK22" s="263" t="s">
        <v>7997</v>
      </c>
      <c r="AL22" s="239">
        <v>13</v>
      </c>
      <c r="AM22" s="256" t="s">
        <v>7997</v>
      </c>
      <c r="AN22" s="257">
        <v>40</v>
      </c>
      <c r="AO22" s="257">
        <v>23</v>
      </c>
      <c r="AP22" s="257">
        <v>110</v>
      </c>
      <c r="AQ22" s="257">
        <v>16</v>
      </c>
      <c r="AR22" s="257">
        <v>99</v>
      </c>
      <c r="AS22" s="257">
        <v>119</v>
      </c>
      <c r="AT22" s="257">
        <v>61</v>
      </c>
      <c r="AU22" s="257">
        <v>91</v>
      </c>
      <c r="AV22" s="257">
        <v>34</v>
      </c>
      <c r="AW22" s="257">
        <v>43</v>
      </c>
      <c r="AX22" s="260">
        <v>101</v>
      </c>
      <c r="AY22" s="257">
        <v>59</v>
      </c>
      <c r="AZ22" s="261">
        <v>31</v>
      </c>
      <c r="BA22" s="275">
        <v>125</v>
      </c>
      <c r="BB22" s="257">
        <v>13</v>
      </c>
      <c r="BC22" s="257">
        <v>52</v>
      </c>
      <c r="BD22" s="266">
        <v>109</v>
      </c>
      <c r="BE22" s="257">
        <v>62</v>
      </c>
      <c r="BF22" s="257">
        <v>22</v>
      </c>
      <c r="BG22" s="257">
        <v>104</v>
      </c>
      <c r="BH22" s="257">
        <v>38</v>
      </c>
      <c r="BI22" s="257">
        <v>41</v>
      </c>
      <c r="BJ22" s="257">
        <v>66</v>
      </c>
      <c r="BK22" s="257">
        <v>7</v>
      </c>
      <c r="BL22" s="257">
        <v>28</v>
      </c>
      <c r="BM22" s="257">
        <v>24</v>
      </c>
      <c r="BN22" s="257">
        <v>115</v>
      </c>
      <c r="BO22" s="257">
        <v>10</v>
      </c>
      <c r="BP22" s="273">
        <v>123</v>
      </c>
      <c r="BQ22" s="257">
        <v>9</v>
      </c>
      <c r="BR22" s="257">
        <v>90</v>
      </c>
      <c r="BS22" s="257">
        <v>107</v>
      </c>
      <c r="BT22" s="263" t="s">
        <v>7997</v>
      </c>
    </row>
    <row r="23" spans="2:72" ht="16.5" thickTop="1" thickBot="1">
      <c r="B23" s="256" t="s">
        <v>7997</v>
      </c>
      <c r="C23" s="268">
        <v>14</v>
      </c>
      <c r="D23" s="274" t="s">
        <v>7997</v>
      </c>
      <c r="E23" s="257">
        <v>73</v>
      </c>
      <c r="F23" s="257">
        <v>76</v>
      </c>
      <c r="G23" s="257">
        <v>120</v>
      </c>
      <c r="H23" s="257">
        <v>104</v>
      </c>
      <c r="I23" s="257">
        <v>82</v>
      </c>
      <c r="J23" s="257">
        <v>91</v>
      </c>
      <c r="K23" s="260">
        <v>32</v>
      </c>
      <c r="L23" s="257">
        <v>99</v>
      </c>
      <c r="M23" s="261">
        <v>48</v>
      </c>
      <c r="N23" s="257">
        <v>108</v>
      </c>
      <c r="O23" s="257">
        <v>62</v>
      </c>
      <c r="P23" s="257">
        <v>14</v>
      </c>
      <c r="Q23" s="257">
        <v>43</v>
      </c>
      <c r="R23" s="269">
        <v>97</v>
      </c>
      <c r="S23" s="257">
        <v>84</v>
      </c>
      <c r="T23" s="257">
        <v>98</v>
      </c>
      <c r="U23" s="281" t="s">
        <v>8000</v>
      </c>
      <c r="V23" s="257">
        <v>61</v>
      </c>
      <c r="W23" s="257">
        <v>105</v>
      </c>
      <c r="X23" s="257">
        <v>37</v>
      </c>
      <c r="Y23" s="257">
        <v>19</v>
      </c>
      <c r="Z23" s="257">
        <v>29</v>
      </c>
      <c r="AA23" s="259">
        <v>124</v>
      </c>
      <c r="AB23" s="257">
        <v>5</v>
      </c>
      <c r="AC23" s="257">
        <v>64</v>
      </c>
      <c r="AD23" s="257">
        <v>55</v>
      </c>
      <c r="AE23" s="257">
        <v>117</v>
      </c>
      <c r="AF23" s="257">
        <v>25</v>
      </c>
      <c r="AG23" s="257">
        <v>101</v>
      </c>
      <c r="AH23" s="257">
        <v>66</v>
      </c>
      <c r="AI23" s="257">
        <v>95</v>
      </c>
      <c r="AJ23" s="257">
        <v>46</v>
      </c>
      <c r="AK23" s="263" t="s">
        <v>7997</v>
      </c>
      <c r="AL23" s="239">
        <v>14</v>
      </c>
      <c r="AM23" s="256" t="s">
        <v>7997</v>
      </c>
      <c r="AN23" s="257">
        <v>84</v>
      </c>
      <c r="AO23" s="258">
        <v>93</v>
      </c>
      <c r="AP23" s="257">
        <v>105</v>
      </c>
      <c r="AQ23" s="257">
        <v>100</v>
      </c>
      <c r="AR23" s="257">
        <v>14</v>
      </c>
      <c r="AS23" s="267">
        <v>2</v>
      </c>
      <c r="AT23" s="257">
        <v>46</v>
      </c>
      <c r="AU23" s="257">
        <v>116</v>
      </c>
      <c r="AV23" s="257">
        <v>42</v>
      </c>
      <c r="AW23" s="281" t="s">
        <v>8000</v>
      </c>
      <c r="AX23" s="257">
        <v>53</v>
      </c>
      <c r="AY23" s="269">
        <v>73</v>
      </c>
      <c r="AZ23" s="257">
        <v>12</v>
      </c>
      <c r="BA23" s="257">
        <v>56</v>
      </c>
      <c r="BB23" s="257">
        <v>44</v>
      </c>
      <c r="BC23" s="257">
        <v>36</v>
      </c>
      <c r="BD23" s="266">
        <v>39</v>
      </c>
      <c r="BE23" s="257">
        <v>114</v>
      </c>
      <c r="BF23" s="258">
        <v>45</v>
      </c>
      <c r="BG23" s="257">
        <v>78</v>
      </c>
      <c r="BH23" s="257">
        <v>37</v>
      </c>
      <c r="BI23" s="257">
        <v>106</v>
      </c>
      <c r="BJ23" s="257">
        <v>86</v>
      </c>
      <c r="BK23" s="257">
        <v>88</v>
      </c>
      <c r="BL23" s="257">
        <v>5</v>
      </c>
      <c r="BM23" s="257">
        <v>64</v>
      </c>
      <c r="BN23" s="257">
        <v>71</v>
      </c>
      <c r="BO23" s="257">
        <v>17</v>
      </c>
      <c r="BP23" s="257">
        <v>8</v>
      </c>
      <c r="BQ23" s="257">
        <v>63</v>
      </c>
      <c r="BR23" s="257">
        <v>54</v>
      </c>
      <c r="BS23" s="257">
        <v>25</v>
      </c>
      <c r="BT23" s="263" t="s">
        <v>7997</v>
      </c>
    </row>
    <row r="24" spans="2:72" ht="14.25" thickTop="1" thickBot="1">
      <c r="B24" s="254" t="s">
        <v>7997</v>
      </c>
      <c r="C24" s="239">
        <v>15</v>
      </c>
      <c r="D24" s="256" t="s">
        <v>7997</v>
      </c>
      <c r="E24" s="257">
        <v>114</v>
      </c>
      <c r="F24" s="272">
        <v>126</v>
      </c>
      <c r="G24" s="257">
        <v>24</v>
      </c>
      <c r="H24" s="257">
        <v>21</v>
      </c>
      <c r="I24" s="257">
        <v>17</v>
      </c>
      <c r="J24" s="257">
        <v>47</v>
      </c>
      <c r="K24" s="257">
        <v>80</v>
      </c>
      <c r="L24" s="269">
        <v>11</v>
      </c>
      <c r="M24" s="257">
        <v>41</v>
      </c>
      <c r="N24" s="257">
        <v>16</v>
      </c>
      <c r="O24" s="257">
        <v>89</v>
      </c>
      <c r="P24" s="273">
        <v>123</v>
      </c>
      <c r="Q24" s="257">
        <v>51</v>
      </c>
      <c r="R24" s="257">
        <v>103</v>
      </c>
      <c r="S24" s="257">
        <v>56</v>
      </c>
      <c r="T24" s="257">
        <v>31</v>
      </c>
      <c r="U24" s="257">
        <v>35</v>
      </c>
      <c r="V24" s="257">
        <v>71</v>
      </c>
      <c r="W24" s="257">
        <v>118</v>
      </c>
      <c r="X24" s="257">
        <v>67</v>
      </c>
      <c r="Y24" s="257">
        <v>87</v>
      </c>
      <c r="Z24" s="258">
        <v>110</v>
      </c>
      <c r="AA24" s="257">
        <v>94</v>
      </c>
      <c r="AB24" s="257">
        <v>26</v>
      </c>
      <c r="AC24" s="257">
        <v>8</v>
      </c>
      <c r="AD24" s="257">
        <v>86</v>
      </c>
      <c r="AE24" s="257">
        <v>13</v>
      </c>
      <c r="AF24" s="262">
        <v>1</v>
      </c>
      <c r="AG24" s="257">
        <v>9</v>
      </c>
      <c r="AH24" s="257">
        <v>106</v>
      </c>
      <c r="AI24" s="258">
        <v>59</v>
      </c>
      <c r="AJ24" s="257">
        <v>15</v>
      </c>
      <c r="AK24" s="263" t="s">
        <v>7997</v>
      </c>
      <c r="AL24" s="239">
        <v>15</v>
      </c>
      <c r="AM24" s="256" t="s">
        <v>7997</v>
      </c>
      <c r="AN24" s="260">
        <v>83</v>
      </c>
      <c r="AO24" s="264">
        <v>127</v>
      </c>
      <c r="AP24" s="261">
        <v>49</v>
      </c>
      <c r="AQ24" s="257">
        <v>77</v>
      </c>
      <c r="AR24" s="257">
        <v>51</v>
      </c>
      <c r="AS24" s="257">
        <v>113</v>
      </c>
      <c r="AT24" s="257">
        <v>87</v>
      </c>
      <c r="AU24" s="257">
        <v>26</v>
      </c>
      <c r="AV24" s="257">
        <v>21</v>
      </c>
      <c r="AW24" s="257">
        <v>95</v>
      </c>
      <c r="AX24" s="257">
        <v>79</v>
      </c>
      <c r="AY24" s="257">
        <v>92</v>
      </c>
      <c r="AZ24" s="257">
        <v>80</v>
      </c>
      <c r="BA24" s="257">
        <v>57</v>
      </c>
      <c r="BB24" s="257">
        <v>60</v>
      </c>
      <c r="BC24" s="257">
        <v>74</v>
      </c>
      <c r="BD24" s="266">
        <v>70</v>
      </c>
      <c r="BE24" s="260">
        <v>67</v>
      </c>
      <c r="BF24" s="257">
        <v>33</v>
      </c>
      <c r="BG24" s="283">
        <v>76</v>
      </c>
      <c r="BH24" s="257">
        <v>111</v>
      </c>
      <c r="BI24" s="257">
        <v>11</v>
      </c>
      <c r="BJ24" s="257">
        <v>94</v>
      </c>
      <c r="BK24" s="257">
        <v>68</v>
      </c>
      <c r="BL24" s="257">
        <v>117</v>
      </c>
      <c r="BM24" s="257">
        <v>4</v>
      </c>
      <c r="BN24" s="257">
        <v>96</v>
      </c>
      <c r="BO24" s="257">
        <v>55</v>
      </c>
      <c r="BP24" s="257">
        <v>102</v>
      </c>
      <c r="BQ24" s="272">
        <v>126</v>
      </c>
      <c r="BR24" s="257">
        <v>108</v>
      </c>
      <c r="BS24" s="257">
        <v>120</v>
      </c>
      <c r="BT24" s="263" t="s">
        <v>7997</v>
      </c>
    </row>
    <row r="25" spans="2:72" ht="14.25" thickTop="1" thickBot="1">
      <c r="B25" s="254" t="s">
        <v>7997</v>
      </c>
      <c r="C25" s="239">
        <v>16</v>
      </c>
      <c r="D25" s="256" t="s">
        <v>7997</v>
      </c>
      <c r="E25" s="257">
        <v>33</v>
      </c>
      <c r="F25" s="257">
        <v>85</v>
      </c>
      <c r="G25" s="257">
        <v>6</v>
      </c>
      <c r="H25" s="257">
        <v>75</v>
      </c>
      <c r="I25" s="257">
        <v>30</v>
      </c>
      <c r="J25" s="257">
        <v>112</v>
      </c>
      <c r="K25" s="257">
        <v>93</v>
      </c>
      <c r="L25" s="257">
        <v>39</v>
      </c>
      <c r="M25" s="257">
        <v>96</v>
      </c>
      <c r="N25" s="257">
        <v>28</v>
      </c>
      <c r="O25" s="257">
        <v>92</v>
      </c>
      <c r="P25" s="257">
        <v>27</v>
      </c>
      <c r="Q25" s="257">
        <v>88</v>
      </c>
      <c r="R25" s="257">
        <v>10</v>
      </c>
      <c r="S25" s="257">
        <v>18</v>
      </c>
      <c r="T25" s="257">
        <v>58</v>
      </c>
      <c r="U25" s="257">
        <v>72</v>
      </c>
      <c r="V25" s="257">
        <v>81</v>
      </c>
      <c r="W25" s="257">
        <v>40</v>
      </c>
      <c r="X25" s="257">
        <v>60</v>
      </c>
      <c r="Y25" s="260">
        <v>52</v>
      </c>
      <c r="Z25" s="264">
        <v>127</v>
      </c>
      <c r="AA25" s="261">
        <v>4</v>
      </c>
      <c r="AB25" s="257">
        <v>36</v>
      </c>
      <c r="AC25" s="257">
        <v>69</v>
      </c>
      <c r="AD25" s="257">
        <v>63</v>
      </c>
      <c r="AE25" s="257">
        <v>50</v>
      </c>
      <c r="AF25" s="257">
        <v>83</v>
      </c>
      <c r="AG25" s="257">
        <v>45</v>
      </c>
      <c r="AH25" s="260">
        <v>102</v>
      </c>
      <c r="AI25" s="267">
        <v>2</v>
      </c>
      <c r="AJ25" s="284">
        <v>121</v>
      </c>
      <c r="AK25" s="263" t="s">
        <v>7997</v>
      </c>
      <c r="AL25" s="239">
        <v>16</v>
      </c>
      <c r="AM25" s="256" t="s">
        <v>7997</v>
      </c>
      <c r="AN25" s="257">
        <v>3</v>
      </c>
      <c r="AO25" s="285">
        <v>121</v>
      </c>
      <c r="AP25" s="257">
        <v>98</v>
      </c>
      <c r="AQ25" s="257">
        <v>32</v>
      </c>
      <c r="AR25" s="257">
        <v>65</v>
      </c>
      <c r="AS25" s="257">
        <v>50</v>
      </c>
      <c r="AT25" s="257">
        <v>6</v>
      </c>
      <c r="AU25" s="257">
        <v>18</v>
      </c>
      <c r="AV25" s="257">
        <v>85</v>
      </c>
      <c r="AW25" s="257">
        <v>30</v>
      </c>
      <c r="AX25" s="259">
        <v>124</v>
      </c>
      <c r="AY25" s="257">
        <v>118</v>
      </c>
      <c r="AZ25" s="257">
        <v>47</v>
      </c>
      <c r="BA25" s="257">
        <v>89</v>
      </c>
      <c r="BB25" s="257">
        <v>58</v>
      </c>
      <c r="BC25" s="257">
        <v>97</v>
      </c>
      <c r="BD25" s="257">
        <v>81</v>
      </c>
      <c r="BE25" s="257">
        <v>103</v>
      </c>
      <c r="BF25" s="286">
        <v>69</v>
      </c>
      <c r="BG25" s="264">
        <v>128</v>
      </c>
      <c r="BH25" s="261">
        <v>82</v>
      </c>
      <c r="BI25" s="257">
        <v>20</v>
      </c>
      <c r="BJ25" s="262">
        <v>1</v>
      </c>
      <c r="BK25" s="257">
        <v>35</v>
      </c>
      <c r="BL25" s="257">
        <v>29</v>
      </c>
      <c r="BM25" s="257">
        <v>27</v>
      </c>
      <c r="BN25" s="257">
        <v>15</v>
      </c>
      <c r="BO25" s="257">
        <v>72</v>
      </c>
      <c r="BP25" s="257">
        <v>75</v>
      </c>
      <c r="BQ25" s="257">
        <v>19</v>
      </c>
      <c r="BR25" s="257">
        <v>112</v>
      </c>
      <c r="BS25" s="257">
        <v>48</v>
      </c>
      <c r="BT25" s="263" t="s">
        <v>7997</v>
      </c>
    </row>
    <row r="26" spans="2:72" ht="14.25" thickTop="1" thickBot="1">
      <c r="AL26" s="238"/>
    </row>
    <row r="27" spans="2:72">
      <c r="C27" s="262">
        <v>1</v>
      </c>
      <c r="D27" s="287" t="s">
        <v>7440</v>
      </c>
      <c r="E27" s="288" t="s">
        <v>8001</v>
      </c>
      <c r="K27" s="267">
        <v>2</v>
      </c>
      <c r="L27" s="289" t="s">
        <v>7439</v>
      </c>
      <c r="N27" s="288" t="s">
        <v>8001</v>
      </c>
      <c r="S27" s="288" t="s">
        <v>8002</v>
      </c>
      <c r="Y27" t="s">
        <v>8003</v>
      </c>
      <c r="Z27"/>
      <c r="AA27"/>
      <c r="AB27" s="290"/>
      <c r="AC27" s="291"/>
      <c r="AD27" s="291" t="s">
        <v>257</v>
      </c>
      <c r="AE27" s="292" t="s">
        <v>259</v>
      </c>
      <c r="AL27" s="238"/>
      <c r="BD27" s="238"/>
    </row>
    <row r="28" spans="2:72">
      <c r="C28" s="273">
        <v>123</v>
      </c>
      <c r="D28" s="287" t="s">
        <v>7440</v>
      </c>
      <c r="E28" s="288" t="s">
        <v>8004</v>
      </c>
      <c r="K28" s="259">
        <v>124</v>
      </c>
      <c r="L28" s="289" t="s">
        <v>7439</v>
      </c>
      <c r="N28" s="288" t="s">
        <v>8004</v>
      </c>
      <c r="S28" s="288" t="s">
        <v>8005</v>
      </c>
      <c r="Y28"/>
      <c r="Z28"/>
      <c r="AA28"/>
      <c r="AB28" s="293" t="s">
        <v>7440</v>
      </c>
      <c r="AC28" s="294"/>
      <c r="AD28" s="295">
        <v>4</v>
      </c>
      <c r="AE28" s="296">
        <v>4</v>
      </c>
      <c r="AL28" s="238"/>
      <c r="BD28" s="238"/>
    </row>
    <row r="29" spans="2:72">
      <c r="C29" s="275">
        <v>125</v>
      </c>
      <c r="D29" s="287" t="s">
        <v>7440</v>
      </c>
      <c r="E29" s="288" t="s">
        <v>8004</v>
      </c>
      <c r="K29" s="272">
        <v>126</v>
      </c>
      <c r="L29" s="289" t="s">
        <v>7439</v>
      </c>
      <c r="N29" s="288" t="s">
        <v>8004</v>
      </c>
      <c r="Y29"/>
      <c r="Z29"/>
      <c r="AA29"/>
      <c r="AB29" s="297" t="s">
        <v>8006</v>
      </c>
      <c r="AC29" s="298"/>
      <c r="AD29" s="295">
        <v>4</v>
      </c>
      <c r="AE29" s="296">
        <v>4</v>
      </c>
      <c r="AL29" s="238"/>
      <c r="BD29" s="238"/>
    </row>
    <row r="30" spans="2:72">
      <c r="C30" s="275">
        <v>127</v>
      </c>
      <c r="D30" s="287" t="s">
        <v>7440</v>
      </c>
      <c r="E30" s="288" t="s">
        <v>8007</v>
      </c>
      <c r="K30" s="299">
        <v>128</v>
      </c>
      <c r="L30" s="289" t="s">
        <v>7439</v>
      </c>
      <c r="N30" s="288" t="s">
        <v>8007</v>
      </c>
      <c r="Y30"/>
      <c r="Z30"/>
      <c r="AA30"/>
      <c r="AB30" s="300"/>
      <c r="AC30" s="295"/>
      <c r="AD30" s="295"/>
      <c r="AE30" s="296"/>
      <c r="BD30" s="238"/>
    </row>
    <row r="31" spans="2:72" ht="13.5" thickBot="1">
      <c r="D31" s="301"/>
      <c r="L31" s="289"/>
      <c r="Y31"/>
      <c r="Z31"/>
      <c r="AA31"/>
      <c r="AB31" s="302" t="s">
        <v>8008</v>
      </c>
      <c r="AC31" s="303"/>
      <c r="AD31" s="304">
        <v>2</v>
      </c>
      <c r="AE31" s="305">
        <v>2</v>
      </c>
    </row>
    <row r="32" spans="2:72" ht="13.5" thickBot="1">
      <c r="C32" s="255" t="s">
        <v>7998</v>
      </c>
      <c r="D32" s="287" t="s">
        <v>7995</v>
      </c>
      <c r="K32" s="281" t="s">
        <v>8000</v>
      </c>
      <c r="L32" s="289" t="s">
        <v>7991</v>
      </c>
      <c r="Y32"/>
      <c r="Z32"/>
      <c r="AA32"/>
      <c r="AB32" s="300" t="s">
        <v>8009</v>
      </c>
      <c r="AC32" s="295"/>
      <c r="AD32" s="306"/>
      <c r="AE32" s="307">
        <f>SUM(AD28:AE29,AD31:AE31)</f>
        <v>20</v>
      </c>
    </row>
    <row r="33" spans="3:56" ht="13.5" thickBot="1">
      <c r="C33" s="308"/>
      <c r="D33" s="308"/>
      <c r="Y33"/>
      <c r="Z33"/>
      <c r="AA33"/>
      <c r="AB33" s="309" t="s">
        <v>8010</v>
      </c>
      <c r="AC33" s="310"/>
      <c r="AD33" s="311"/>
      <c r="AE33" s="307">
        <f>3*AE32</f>
        <v>60</v>
      </c>
    </row>
    <row r="34" spans="3:56" ht="14.25" thickTop="1" thickBot="1">
      <c r="C34" s="374" t="s">
        <v>8011</v>
      </c>
      <c r="D34" s="375"/>
      <c r="E34" s="312" t="s">
        <v>8012</v>
      </c>
      <c r="AK34" s="239"/>
      <c r="AL34" s="238"/>
      <c r="BC34" s="239"/>
      <c r="BD34" s="238"/>
    </row>
    <row r="35" spans="3:56" ht="14.25" thickTop="1" thickBot="1">
      <c r="C35" s="313" t="s">
        <v>8013</v>
      </c>
      <c r="D35" s="314"/>
      <c r="E35" s="315" t="s">
        <v>8014</v>
      </c>
      <c r="AK35" s="239"/>
      <c r="AL35" s="238"/>
      <c r="BC35" s="239"/>
      <c r="BD35" s="238"/>
    </row>
    <row r="36" spans="3:56" ht="13.5" thickTop="1"/>
  </sheetData>
  <sheetProtection selectLockedCells="1" selectUnlockedCells="1"/>
  <mergeCells count="1">
    <mergeCell ref="C34:D34"/>
  </mergeCells>
  <conditionalFormatting sqref="K27:K30 AF27:AM29 AK22:AM26 AK16:AM19 BD14 AK14 B4:AK7 AL9:AL15 U10:AK13 BD22:BS25 AK9 AM9:BC9 AM15 AL20:AM21 D9:D19 D3 AL1:AL7 AN4:BS7 C9 C11:C17 B10:B25 D21:D25 C19:C22 C24:C25 C27:D30 C32:D32 AM10:BS13 K32 BD16:BS19 AN14:BC25 U14:AJ26 W27:X29 E9:T25 AM2:AM7">
    <cfRule type="expression" dxfId="8" priority="1" stopIfTrue="1">
      <formula>NOT(ISERROR(SEARCH("122T",B1)))</formula>
    </cfRule>
    <cfRule type="cellIs" dxfId="7" priority="2" stopIfTrue="1" operator="equal">
      <formula>127</formula>
    </cfRule>
    <cfRule type="cellIs" dxfId="6" priority="3" stopIfTrue="1" operator="equal">
      <formula>128</formula>
    </cfRule>
  </conditionalFormatting>
  <conditionalFormatting sqref="K27:K30 AF27:AM29 AK22:AM26 AK16:AM19 AN14:BD14 A14 BT9 U2:AJ2 N13 B1:C7 AK9:BC9 W27:X29 AI4:AI6 D2:E7 AL15:AM15 AK1:AL3 AO1:BC1 BJ22:BJ24 AM2:AM3 AN2:BS2 AK14:AL14 AL20:AM21 A9:B13 AB4:AB6 C9 C11:C17 B14:B25 AE18:AE19 C19:C22 C24:C25 C27:D30 C32:D32 AV3:AV6 A6:A7 T11:T13 AP10:AP12 BA17:BA21 A4 R1:R6 U4:X7 Y5:Y7 J5:J7 AS24:AS25 Z26 S1:T7 U20:Y26 F25 Z20:Z24 O7 P1:Q7 O1:O5 F1:I7 K1:N7 J1:J3 Z4:AA7 AC4:AH7 AC13 N9:N11 U10:W13 Y10:AB13 F9:F11 AC10:AC11 D9:E13 G9:M13 AD10:AH13 BQ25 AI10:AI11 O9:P13 Q9:Q12 R9:S13 T9 D14:D19 E18:E19 E14:E16 F14:J19 K14:K18 Y14:Y18 X19 X11:X17 AI13:AI18 L14:O19 Q14:W19 P14:P16 Z14:AD19 AF14:AH19 AE14:AE16 D20:E25 AF25:AF26 F20:F23 AA24:AA26 AA20:AA22 AI26 AJ14:AJ26 AI20:AI24 AB20:AE26 AG20:AH26 AF20:AF23 P25 Q20:T25 P18:P23 H20:O25 G20:G21 G23:G25 BD22:BI25 BO7 BP23:BP25 BA23:BA25 BP4:BT7 BO4:BO5 BK22:BO25 AX7 AP3:AU7 AX15:AX24 BJ5:BJ7 BB15:BC25 BF11:BG13 BD4:BI7 BK4:BN7 AN6:AO7 AQ18:AQ25 AJ4:AM7 AN3:AO4 AT15:AW25 BL17:BL19 AW3:AW7 AY3:BC7 AX3:AX5 BR22:BT25 BQ22:BQ23 BB13 AN12:AN13 BB10:BB11 BJ16:BJ18 AQ10:BA13 BR18:BR19 AY19:AY25 AZ15:AZ25 AY15:AY17 BM16:BQ19 BS16:BT19 BR16 BR13 BK16:BK19 AJ10:AM13 AO10:AO13 AN10 BC10:BE13 AS20:AS22 AN15:AP25 AR15:AR25 AQ15:AQ16 AS15:AS18 BG19 BO10:BO12 BP10:BQ13 BS10:BT13 BR10:BR11 BD16:BF19 BH16:BI19 BG16:BG17 BH10:BN13 BA15">
    <cfRule type="cellIs" dxfId="5" priority="4" stopIfTrue="1" operator="equal">
      <formula>124</formula>
    </cfRule>
    <cfRule type="cellIs" dxfId="4" priority="5" stopIfTrue="1" operator="equal">
      <formula>126</formula>
    </cfRule>
    <cfRule type="cellIs" dxfId="3" priority="6" stopIfTrue="1" operator="equal">
      <formula>123</formula>
    </cfRule>
  </conditionalFormatting>
  <conditionalFormatting sqref="K27:K30 AF27:AM29 AK26:AM26 AE18:AE19 B10:B13 C19 W27:X29 AB4:AB6 BJ22:BJ24 BQ25 B16:B19 C16:C17 B22:B25 C22 C24:C25 C27:C30 C32 AK22:AL25 B4:C7 T11:T13 AP10:AP12 BA17:BA19 R4:R6 AI4:AI6 Y5:Y7 J5:J7 AJ4:AK7 Z26 S4:X7 U22:Y26 F25 Z22:Z24 O7 P4:Q7 O4:O5 E4:I7 K4:N7 Z4:AA7 AC4:AH7 AC13 N13 N10:N11 AI13 X11:X13 Y10:AB13 F10:F11 AC10:AC11 E10:E13 G10:M13 AD10:AH13 AJ10:AK13 AI10:AI11 O10:P13 Q10:Q12 R10:S13 U10:W13 E18:E19 E16 F16:J19 K16:K18 Y16:Y18 X19 X16:X17 AI16:AI18 AJ16:AL19 P18:P19 L16:O19 Q16:W19 P16 Z16:AD19 AF16:AH19 AE16 E22:E25 AF25:AF26 F22:F23 AA24:AA26 AA22 AI26 AJ22:AJ26 AI22:AI24 AB22:AE26 AG22:AH26 AF22:AF23 P25 Q22:T25 P22:P23 H22:O25 G23:G25 AV4:AV6 BO7 AS24:AS25 BP23:BP25 BP4:BS7 BO4:BO5 BK22:BO25 AX7 AP4:AU7 BA23:BA25 BJ5:BJ7 BB22:BI25 AX22:AX24 BK4:BN7 AN22:AR25 AN6:AO7 AS22 AN4:AO4 AT22:AW25 AY22:AZ25 AW4:AW7 AY4:BI7 AX4:AX5 BR22:BS25 BQ22:BQ23 BB13 AN12:AN13 BB10:BB11 BJ16:BJ18 AQ10:BA13 BL17:BL19 AY19 BR18:BR19 AY16:AY17 BM16:BQ19 BS16:BS19 BR16 BR13 BK16:BK19 AO10:AO13 AN10 BC10:BE13 AS16:AS18 AN16:AP19 AQ18:AQ19 AQ16 AR16:AR19 AT16:AX19 BG19 BO10:BO12 BP10:BQ13 BS10:BS13 BR10:BR11 BF11:BG13 BH16:BI19 BG16:BG17 BH10:BN13 AZ16:AZ19 BB16:BF19">
    <cfRule type="cellIs" dxfId="2" priority="7" stopIfTrue="1" operator="equal">
      <formula>2</formula>
    </cfRule>
    <cfRule type="cellIs" dxfId="1" priority="8" stopIfTrue="1" operator="equal">
      <formula>1</formula>
    </cfRule>
  </conditionalFormatting>
  <conditionalFormatting sqref="C4:C7 BA17:BA21 F4:F11 AA24:AA25 R8:R25 G23:G25 AI4:AI6 Z4:Z24 N13:N25 R4:R6 J5:J25 O7:O25 X19:X25 O4:O5 AC13:AC25 AB8:AB25 F25 K20:K25 AB4:AB6 E18:E25 N4:N11 Q14:Q25 X4:X9 AF25 AC4:AC11 T11:T25 P25 AE18:AE25 AI8:AI11 Y20:Y25 Q4:Q12 S4:S25 U4:W25 T4:T9 E4:E16 L4:M25 K4:K18 X11:X17 AI13:AI18 Y5:Y18 P4:P16 AD4:AD25 AI20:AI24 AE4:AE16 F14:F23 AA4:AA22 AG4:AH25 AF4:AF23 P18:P23 H4:I25 G4:G21 BA23:BA25 AS24:AS25 BP23:BP25 AP14:AP25 AS20:AS22 BO4:BO5 AX7:AX24 BP4:BP21 BR18:BR25 AV8:AV25 AV4:AV6 BJ20:BJ24 BQ25 BG11:BG17 BB13:BB25 AT4:AU25 AQ18:AQ25 AJ4:AM25 AN4:AO4 AW4:AW25 BL17:BL25 AX4:AX5 AY19:AY25 BQ4:BQ23 AN12:AN25 BB4:BB11 BF11:BF25 AP4:AP12 BK4:BK25 BM4:BN25 BL4:BL15 AZ4:AZ25 AY4:AY17 BS4:BS25 BO14:BO25 BJ5:BJ18 AO6:AO25 AN6:AN10 BC4:BE25 BR13:BR16 AR4:AR25 AQ4:AQ16 AS4:AS18 BO7:BO12 BR4:BR11 BH4:BI25 BG19:BG25 BF4:BG9 BA4:BA15">
    <cfRule type="expression" dxfId="0" priority="9" stopIfTrue="1">
      <formula>NOT(ISERROR(SEARCH("122E",C4)))</formula>
    </cfRule>
  </conditionalFormatting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E10"/>
  <sheetViews>
    <sheetView tabSelected="1" zoomScale="80" zoomScaleNormal="80" workbookViewId="0">
      <selection activeCell="C13" sqref="C13"/>
    </sheetView>
  </sheetViews>
  <sheetFormatPr baseColWidth="10" defaultRowHeight="12"/>
  <cols>
    <col min="1" max="1" width="21.5703125" style="214" bestFit="1" customWidth="1"/>
    <col min="2" max="2" width="20.85546875" style="214" bestFit="1" customWidth="1"/>
    <col min="3" max="3" width="24.5703125" style="214" bestFit="1" customWidth="1"/>
    <col min="4" max="4" width="13.7109375" style="214" customWidth="1"/>
    <col min="5" max="5" width="29.5703125" style="214" customWidth="1"/>
    <col min="6" max="16384" width="11.42578125" style="210"/>
  </cols>
  <sheetData>
    <row r="1" spans="1:5" ht="15.75">
      <c r="A1" s="209" t="s">
        <v>7697</v>
      </c>
      <c r="B1" s="209" t="s">
        <v>213</v>
      </c>
      <c r="C1" s="209" t="s">
        <v>7698</v>
      </c>
      <c r="D1" s="209" t="s">
        <v>7699</v>
      </c>
      <c r="E1" s="209" t="s">
        <v>7700</v>
      </c>
    </row>
    <row r="2" spans="1:5" ht="15.75">
      <c r="A2" s="211" t="s">
        <v>8028</v>
      </c>
      <c r="B2" s="376">
        <v>41157</v>
      </c>
      <c r="C2" s="217"/>
      <c r="D2" s="217"/>
      <c r="E2" s="212"/>
    </row>
    <row r="3" spans="1:5" ht="15.75">
      <c r="A3" s="211" t="s">
        <v>8017</v>
      </c>
      <c r="B3" s="376">
        <v>41249</v>
      </c>
      <c r="C3" s="217"/>
      <c r="D3" s="217"/>
      <c r="E3" s="212"/>
    </row>
    <row r="4" spans="1:5" ht="15.75">
      <c r="A4" s="211" t="s">
        <v>8031</v>
      </c>
      <c r="B4" s="376">
        <v>41309</v>
      </c>
      <c r="C4" s="217"/>
      <c r="D4" s="217"/>
      <c r="E4" s="212"/>
    </row>
    <row r="5" spans="1:5" ht="15.75">
      <c r="A5" s="211" t="s">
        <v>8018</v>
      </c>
      <c r="B5" s="376">
        <v>41312</v>
      </c>
      <c r="C5" s="217"/>
      <c r="D5" s="217"/>
      <c r="E5" s="212"/>
    </row>
    <row r="6" spans="1:5" ht="15.75">
      <c r="A6" s="211" t="s">
        <v>8032</v>
      </c>
      <c r="B6" s="376">
        <v>41330</v>
      </c>
      <c r="C6" s="217"/>
      <c r="D6" s="217"/>
      <c r="E6" s="212" t="s">
        <v>8029</v>
      </c>
    </row>
    <row r="7" spans="1:5" ht="15.75">
      <c r="A7" s="211" t="s">
        <v>8032</v>
      </c>
      <c r="B7" s="376">
        <v>41361</v>
      </c>
      <c r="C7" s="217"/>
      <c r="D7" s="217"/>
      <c r="E7" s="213" t="s">
        <v>8029</v>
      </c>
    </row>
    <row r="8" spans="1:5" ht="15.75">
      <c r="A8" s="211" t="s">
        <v>8019</v>
      </c>
      <c r="B8" s="376">
        <v>41373</v>
      </c>
      <c r="C8" s="217"/>
      <c r="D8" s="217"/>
      <c r="E8" s="212"/>
    </row>
    <row r="9" spans="1:5" ht="15.75">
      <c r="A9" s="211" t="s">
        <v>8033</v>
      </c>
      <c r="B9" s="376" t="s">
        <v>8030</v>
      </c>
      <c r="C9" s="217"/>
      <c r="D9" s="217"/>
      <c r="E9" s="212"/>
    </row>
    <row r="10" spans="1:5" ht="15.75">
      <c r="A10" s="211" t="s">
        <v>8031</v>
      </c>
      <c r="B10" s="376">
        <v>41480</v>
      </c>
      <c r="C10" s="217"/>
      <c r="D10" s="217"/>
      <c r="E10" s="21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2015-02-12T08:56:11Z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